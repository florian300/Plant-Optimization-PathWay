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lori\Documents\TFM\PathWay_Python_Tool - v2\"/>
    </mc:Choice>
  </mc:AlternateContent>
  <xr:revisionPtr revIDLastSave="0" documentId="13_ncr:1_{C39B4753-0F26-4801-8CBC-0163F302A50A}" xr6:coauthVersionLast="47" xr6:coauthVersionMax="47" xr10:uidLastSave="{00000000-0000-0000-0000-000000000000}"/>
  <bookViews>
    <workbookView xWindow="-98" yWindow="-98" windowWidth="22695" windowHeight="14476" firstSheet="4" activeTab="9" xr2:uid="{00000000-000D-0000-FFFF-FFFF00000000}"/>
  </bookViews>
  <sheets>
    <sheet name="HELP" sheetId="1" r:id="rId1"/>
    <sheet name="OverView" sheetId="2" r:id="rId2"/>
    <sheet name="NEW TECH" sheetId="3" r:id="rId3"/>
    <sheet name="NEW TECH_INDIRECT" sheetId="4" r:id="rId4"/>
    <sheet name="REFINERY" sheetId="5" r:id="rId5"/>
    <sheet name="PUBLIC AID" sheetId="6" r:id="rId6"/>
    <sheet name="BANK" sheetId="7" r:id="rId7"/>
    <sheet name="RESSOURCES_PRICE" sheetId="8" r:id="rId8"/>
    <sheet name="CARBON QUOTAS" sheetId="9" r:id="rId9"/>
    <sheet name="OTHER EMISSION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0" l="1"/>
  <c r="M80" i="10" s="1"/>
  <c r="P80" i="10" s="1"/>
  <c r="R15" i="10"/>
  <c r="M40" i="10"/>
  <c r="P40" i="10" s="1"/>
  <c r="J105" i="10"/>
  <c r="J100" i="10"/>
  <c r="J95" i="10"/>
  <c r="J90" i="10"/>
  <c r="J85" i="10"/>
  <c r="J80" i="10"/>
  <c r="J73" i="10"/>
  <c r="J68" i="10"/>
  <c r="J63" i="10"/>
  <c r="J58" i="10"/>
  <c r="J53" i="10"/>
  <c r="J48" i="10"/>
  <c r="J40" i="10"/>
  <c r="J35" i="10"/>
  <c r="J30" i="10"/>
  <c r="J25" i="10"/>
  <c r="J20" i="10"/>
  <c r="J15" i="10"/>
  <c r="P47" i="5"/>
  <c r="M47" i="5"/>
  <c r="J47" i="5"/>
  <c r="G47" i="5"/>
  <c r="D26" i="5"/>
  <c r="B22" i="5"/>
  <c r="F8" i="5"/>
  <c r="H16" i="4"/>
  <c r="H15" i="4"/>
  <c r="H14" i="4"/>
  <c r="H13" i="4"/>
  <c r="H12" i="4"/>
  <c r="H11" i="4"/>
  <c r="M48" i="10" l="1"/>
  <c r="M73" i="10" s="1"/>
  <c r="P73" i="10" s="1"/>
  <c r="M105" i="10"/>
  <c r="P105" i="10" s="1"/>
  <c r="P48" i="10"/>
  <c r="P15" i="10"/>
</calcChain>
</file>

<file path=xl/sharedStrings.xml><?xml version="1.0" encoding="utf-8"?>
<sst xmlns="http://schemas.openxmlformats.org/spreadsheetml/2006/main" count="4458" uniqueCount="334">
  <si>
    <t>INIT</t>
  </si>
  <si>
    <t>START</t>
  </si>
  <si>
    <t>PROJECT NAME</t>
  </si>
  <si>
    <t>**</t>
  </si>
  <si>
    <t>IF NO, THE SCRIPT WILL ONLY VERIFY IF THE EXCEL DOESN'T CONTAIN ANY MISTAKE</t>
  </si>
  <si>
    <t>RUN PROJECT ? (YES/NO)</t>
  </si>
  <si>
    <t>YES</t>
  </si>
  <si>
    <t>YEAR START</t>
  </si>
  <si>
    <t>SIMULATION TIME (IN YEAR)</t>
  </si>
  <si>
    <t>DURURATION SIMULATION (s)</t>
  </si>
  <si>
    <t>ERROR SIMULATION (%)</t>
  </si>
  <si>
    <t>END</t>
  </si>
  <si>
    <t>CLUSTER</t>
  </si>
  <si>
    <t>ENTITY</t>
  </si>
  <si>
    <t>ID</t>
  </si>
  <si>
    <t>NAME</t>
  </si>
  <si>
    <t>TYPE</t>
  </si>
  <si>
    <t>DESCRIPTION</t>
  </si>
  <si>
    <t>PRODUCTION</t>
  </si>
  <si>
    <t>UNIT</t>
  </si>
  <si>
    <t>TOTALENERGIES</t>
  </si>
  <si>
    <t>TOT1</t>
  </si>
  <si>
    <t>INDUSTRY</t>
  </si>
  <si>
    <t>REFINERY</t>
  </si>
  <si>
    <t>BARRELS/DAY</t>
  </si>
  <si>
    <t>DATA</t>
  </si>
  <si>
    <t>CATEGORY</t>
  </si>
  <si>
    <t>MAIN</t>
  </si>
  <si>
    <t>DESCRIPTION [OPT]</t>
  </si>
  <si>
    <t>CO2 EMISSIONS</t>
  </si>
  <si>
    <t>CO2_EM</t>
  </si>
  <si>
    <t>EMISSIONS</t>
  </si>
  <si>
    <t>POLLUTION</t>
  </si>
  <si>
    <t>tCO2</t>
  </si>
  <si>
    <t>ELECTRICITY</t>
  </si>
  <si>
    <t>EN_ELEC</t>
  </si>
  <si>
    <t>CONSUMPTION</t>
  </si>
  <si>
    <t>ENERGY</t>
  </si>
  <si>
    <t>MWH</t>
  </si>
  <si>
    <t>WATER</t>
  </si>
  <si>
    <t>W1</t>
  </si>
  <si>
    <t>M3</t>
  </si>
  <si>
    <t>LGP</t>
  </si>
  <si>
    <t>EN_LGP</t>
  </si>
  <si>
    <t>BARREL</t>
  </si>
  <si>
    <t>GASOLINE</t>
  </si>
  <si>
    <t>EN_GASO</t>
  </si>
  <si>
    <t>JET</t>
  </si>
  <si>
    <t>EN_JET</t>
  </si>
  <si>
    <t>DIESEL</t>
  </si>
  <si>
    <t>EN_DIE</t>
  </si>
  <si>
    <t>GREEN H2</t>
  </si>
  <si>
    <t>EN_GREEN_H2_C</t>
  </si>
  <si>
    <t>GJ</t>
  </si>
  <si>
    <t>NO</t>
  </si>
  <si>
    <t>EN_H2_C</t>
  </si>
  <si>
    <t>YELLOW H2</t>
  </si>
  <si>
    <t>EN_Y_H2_C</t>
  </si>
  <si>
    <t>GREY H2</t>
  </si>
  <si>
    <t>EN_GREY_H2_C</t>
  </si>
  <si>
    <t>BLUE H2</t>
  </si>
  <si>
    <t>EN_B_H2_C</t>
  </si>
  <si>
    <t>HYDROGEN</t>
  </si>
  <si>
    <t>EN_H2_P</t>
  </si>
  <si>
    <t>FUEL GAS</t>
  </si>
  <si>
    <t>EN_FUEL</t>
  </si>
  <si>
    <t>UNIT CONVERSION</t>
  </si>
  <si>
    <t>UNIT 1</t>
  </si>
  <si>
    <t>VALUE</t>
  </si>
  <si>
    <t>=</t>
  </si>
  <si>
    <t>UNIT2</t>
  </si>
  <si>
    <t>kgCO2</t>
  </si>
  <si>
    <t>kWh</t>
  </si>
  <si>
    <t>J</t>
  </si>
  <si>
    <t>Wh</t>
  </si>
  <si>
    <t>MODELING</t>
  </si>
  <si>
    <t>DATA ID</t>
  </si>
  <si>
    <t>NUMBER SCENARIOS</t>
  </si>
  <si>
    <t>SC-DES</t>
  </si>
  <si>
    <t>NAME SCENARIO</t>
  </si>
  <si>
    <t>SCENARIO ID</t>
  </si>
  <si>
    <t>SCENARIO DESCRIPTION  [OPT]</t>
  </si>
  <si>
    <t>AT ALL COST ? (YES/NO)</t>
  </si>
  <si>
    <t>BUSINESS AS USUAL</t>
  </si>
  <si>
    <t>BS</t>
  </si>
  <si>
    <t>CLEAN TECH</t>
  </si>
  <si>
    <t>CT</t>
  </si>
  <si>
    <t>LOW CARBON BREAK</t>
  </si>
  <si>
    <t>LCB</t>
  </si>
  <si>
    <t>OBJECTIVES</t>
  </si>
  <si>
    <t>OBJECTIVE</t>
  </si>
  <si>
    <t>GROUP</t>
  </si>
  <si>
    <t>RESSOURCE</t>
  </si>
  <si>
    <t>LIMIT (MIN/MAX/CAP) MIN = FOR EG. REDUCE EMISSIONS
MAX = FOR EG. RISE ELECTRICITY CONSUMPTIONS
CAP = FOR EG. HAVE THE CONSUMPTION OF FIRE FUEL BELLOW A THRESHOLD</t>
  </si>
  <si>
    <t>YEAR AT WHICH THE TARGET MUST BE REACHED</t>
  </si>
  <si>
    <t>IF CAP INDICATE THE VALUE</t>
  </si>
  <si>
    <t>IF CAP INDICATE THE YEAR OF COMPARAISON</t>
  </si>
  <si>
    <t>INTERPOLATION CONSTRAIN (NONE/LINEAR)</t>
  </si>
  <si>
    <t>OBJ</t>
  </si>
  <si>
    <t>GP2</t>
  </si>
  <si>
    <t>EU Target</t>
  </si>
  <si>
    <t>ALL</t>
  </si>
  <si>
    <t>CAP</t>
  </si>
  <si>
    <t>LINEAR</t>
  </si>
  <si>
    <t>GP1</t>
  </si>
  <si>
    <t>French Target</t>
  </si>
  <si>
    <t>CHARTS</t>
  </si>
  <si>
    <t>CHART NAME</t>
  </si>
  <si>
    <t>ACTIVE (YES/NO)</t>
  </si>
  <si>
    <t>CARBON PRICE</t>
  </si>
  <si>
    <t>CARBON TAX</t>
  </si>
  <si>
    <t>CO2 TRAJECTORY</t>
  </si>
  <si>
    <t>ENERGY MIX</t>
  </si>
  <si>
    <t>EXTERNAL FINANCING</t>
  </si>
  <si>
    <t>INDIRECT EMISSIONS</t>
  </si>
  <si>
    <t>INVESTMENT PLAN</t>
  </si>
  <si>
    <t>RESSOURCES OPEX</t>
  </si>
  <si>
    <t>SIMULATION PRICES</t>
  </si>
  <si>
    <t>TRANSITION COST</t>
  </si>
  <si>
    <t>EXCEL DATA</t>
  </si>
  <si>
    <t>FILE</t>
  </si>
  <si>
    <t>NEW TECH</t>
  </si>
  <si>
    <t>TECS</t>
  </si>
  <si>
    <t>IMPLEMANTATION TIME (YEAR)</t>
  </si>
  <si>
    <t>CCS</t>
  </si>
  <si>
    <t>ELECTRIVE RESISTIVE HEATERS</t>
  </si>
  <si>
    <t>ERH</t>
  </si>
  <si>
    <t>MW</t>
  </si>
  <si>
    <t>PEM ELECTROLYSER</t>
  </si>
  <si>
    <t>PEM_H2</t>
  </si>
  <si>
    <t>FUEL_TO_H2</t>
  </si>
  <si>
    <t>PROGRESS</t>
  </si>
  <si>
    <t>UP</t>
  </si>
  <si>
    <t>NONE</t>
  </si>
  <si>
    <t>TECHNICAL SPECS</t>
  </si>
  <si>
    <t>RESSOURCE ID1</t>
  </si>
  <si>
    <t>TYPE (NEW/VARIATION)</t>
  </si>
  <si>
    <t>ACCORDING TO</t>
  </si>
  <si>
    <t>STATE: INITIAL/ACTUAL/AVOIDED</t>
  </si>
  <si>
    <t>VARIATION</t>
  </si>
  <si>
    <t>%</t>
  </si>
  <si>
    <t>ACTUAL</t>
  </si>
  <si>
    <t>NEW</t>
  </si>
  <si>
    <t>MWh</t>
  </si>
  <si>
    <t>AVOIDED</t>
  </si>
  <si>
    <t>INITIAL</t>
  </si>
  <si>
    <t>€ SPECS</t>
  </si>
  <si>
    <t>TECH ID</t>
  </si>
  <si>
    <t>SCENARIO</t>
  </si>
  <si>
    <t>TYPE (VARIABLE/FIXED)</t>
  </si>
  <si>
    <t>YEAR</t>
  </si>
  <si>
    <t>COST</t>
  </si>
  <si>
    <t>PER UNIT ?</t>
  </si>
  <si>
    <t>FIXED</t>
  </si>
  <si>
    <t>VARIABLE</t>
  </si>
  <si>
    <t>COMPATIBILITIES</t>
  </si>
  <si>
    <t>x</t>
  </si>
  <si>
    <t>INDIRECT EMISSIONS AVOIDED</t>
  </si>
  <si>
    <t>DAC</t>
  </si>
  <si>
    <t>ACTIVATE</t>
  </si>
  <si>
    <t>YES/NO</t>
  </si>
  <si>
    <t>YEAR START (IF NO DATA START AT THE DATE OF THE SIMULATION)</t>
  </si>
  <si>
    <t>YEAR END (IF NO DATA IT IS ACTIVATED FOR ALL THE SIMULATION TIME)</t>
  </si>
  <si>
    <t>ACT</t>
  </si>
  <si>
    <t>CARACTERISTIC</t>
  </si>
  <si>
    <t>SC ID</t>
  </si>
  <si>
    <t>CAPEX</t>
  </si>
  <si>
    <t>/RESSOURCE ID</t>
  </si>
  <si>
    <t>UNIT RESSOURCE ID</t>
  </si>
  <si>
    <t>OPEX</t>
  </si>
  <si>
    <t>VALUE1</t>
  </si>
  <si>
    <t>UNIT1</t>
  </si>
  <si>
    <t>CARAC</t>
  </si>
  <si>
    <t>INTERPOLATION</t>
  </si>
  <si>
    <t>LINEAR/</t>
  </si>
  <si>
    <t>INTER</t>
  </si>
  <si>
    <t>THRESHOLD</t>
  </si>
  <si>
    <t>REF YEAR</t>
  </si>
  <si>
    <t>% CAP</t>
  </si>
  <si>
    <t>TREHS</t>
  </si>
  <si>
    <t>CREDIT</t>
  </si>
  <si>
    <t>COST (€)</t>
  </si>
  <si>
    <t>COMPANY NAME</t>
  </si>
  <si>
    <t>REFINERY 1</t>
  </si>
  <si>
    <t>ACTIVITY</t>
  </si>
  <si>
    <t>OIL &amp; GAS</t>
  </si>
  <si>
    <t>SUB-ACTIVITY</t>
  </si>
  <si>
    <t>REFERENCE</t>
  </si>
  <si>
    <t>PER UNIT = define a unit of production / TOTAL = global production</t>
  </si>
  <si>
    <t>PER (HOUR/DAY/MONTH/YEAR)</t>
  </si>
  <si>
    <t>PER UNIT</t>
  </si>
  <si>
    <t>DAY</t>
  </si>
  <si>
    <t>PRODUCTION PER DAY</t>
  </si>
  <si>
    <t>HOURS PER DAYS</t>
  </si>
  <si>
    <t>TIPE_OP</t>
  </si>
  <si>
    <t>SOVERAINTY ACTIVITY</t>
  </si>
  <si>
    <t>NORM/PI</t>
  </si>
  <si>
    <t>SV ACT</t>
  </si>
  <si>
    <t>PI</t>
  </si>
  <si>
    <t>REF</t>
  </si>
  <si>
    <t>RESSOURCE ID</t>
  </si>
  <si>
    <t>VALOR</t>
  </si>
  <si>
    <t>3130522.089</t>
  </si>
  <si>
    <t>TOTAL</t>
  </si>
  <si>
    <t>TOTAL NUMBER OF RESSOURCES</t>
  </si>
  <si>
    <t>PLEASE ENTER POSITIVE VALUE FOR CONSUMPTION AND NEGATIVE VALUE FOR EMISSIONS</t>
  </si>
  <si>
    <t>UNIT CONSUMPTION</t>
  </si>
  <si>
    <t>PROCESS</t>
  </si>
  <si>
    <t>DESCRIPTION_PROCESSES</t>
  </si>
  <si>
    <t>PROCESS NAME</t>
  </si>
  <si>
    <t>RESSOURCE1</t>
  </si>
  <si>
    <t>% CONSUMPTION1</t>
  </si>
  <si>
    <t>...</t>
  </si>
  <si>
    <t>DES_PROCESS</t>
  </si>
  <si>
    <t>Crude Oil Distillation</t>
  </si>
  <si>
    <t>R1</t>
  </si>
  <si>
    <t>Vacuum Distillation Unit</t>
  </si>
  <si>
    <t>R2</t>
  </si>
  <si>
    <t>W2</t>
  </si>
  <si>
    <t>Naphtha HDT</t>
  </si>
  <si>
    <t>R3</t>
  </si>
  <si>
    <t>W3</t>
  </si>
  <si>
    <t>Continuous Catalytic Reformer</t>
  </si>
  <si>
    <t>R5</t>
  </si>
  <si>
    <t>W4</t>
  </si>
  <si>
    <t>VGO HDT</t>
  </si>
  <si>
    <t>R8</t>
  </si>
  <si>
    <t>W5</t>
  </si>
  <si>
    <t>Coker</t>
  </si>
  <si>
    <t>R16</t>
  </si>
  <si>
    <t>W6</t>
  </si>
  <si>
    <t>Hydrogen Plant</t>
  </si>
  <si>
    <t>R17</t>
  </si>
  <si>
    <t>W7</t>
  </si>
  <si>
    <t>Steam plant (Offsites &amp; Utilities)</t>
  </si>
  <si>
    <t>R20</t>
  </si>
  <si>
    <t>W8</t>
  </si>
  <si>
    <t>Other</t>
  </si>
  <si>
    <t>R_OTHER</t>
  </si>
  <si>
    <t>W9</t>
  </si>
  <si>
    <t>NUMBER OF UNITS</t>
  </si>
  <si>
    <t>NUMBER</t>
  </si>
  <si>
    <t>NB_UNITS</t>
  </si>
  <si>
    <t>TECHNOLOGICAL TRANSITION</t>
  </si>
  <si>
    <t>BORROW</t>
  </si>
  <si>
    <t>SCENARIOS</t>
  </si>
  <si>
    <t>FIXED COST</t>
  </si>
  <si>
    <t>VARIABLE COST</t>
  </si>
  <si>
    <t>BUDGET</t>
  </si>
  <si>
    <t>LINK TO WHICH KPI ?</t>
  </si>
  <si>
    <t>CA</t>
  </si>
  <si>
    <t>0.8%</t>
  </si>
  <si>
    <t>PROCESS ID</t>
  </si>
  <si>
    <t>NEW TECH ID1</t>
  </si>
  <si>
    <t>NEW TECH ID2</t>
  </si>
  <si>
    <t>NEW TECH ID3</t>
  </si>
  <si>
    <t>NEW TECH ID4</t>
  </si>
  <si>
    <t>NEW TECH ID5</t>
  </si>
  <si>
    <t>EXTENSIONS</t>
  </si>
  <si>
    <t>EXT</t>
  </si>
  <si>
    <t>PURCHASES</t>
  </si>
  <si>
    <t>BUY/SELL</t>
  </si>
  <si>
    <t>SELL</t>
  </si>
  <si>
    <t>BUY</t>
  </si>
  <si>
    <t>PUBLIC AID</t>
  </si>
  <si>
    <t>ACTIVE</t>
  </si>
  <si>
    <t>€ INCENTIVES</t>
  </si>
  <si>
    <t>SUBSIDIES</t>
  </si>
  <si>
    <t>TYPE OF SUBS (=GRANT)</t>
  </si>
  <si>
    <t>RATE</t>
  </si>
  <si>
    <t>RENEW TIME</t>
  </si>
  <si>
    <t>SUBS</t>
  </si>
  <si>
    <t>GRANT</t>
  </si>
  <si>
    <t>4.5</t>
  </si>
  <si>
    <t>TYPE OF SUBS (=CCfD)</t>
  </si>
  <si>
    <t>DURATION (YEARS)</t>
  </si>
  <si>
    <t>TYPE OF CONTRACT (1/2)</t>
  </si>
  <si>
    <t>EUA Price</t>
  </si>
  <si>
    <t>NB CONTRACTS</t>
  </si>
  <si>
    <t>CCfD</t>
  </si>
  <si>
    <t>BANK</t>
  </si>
  <si>
    <t>PRODUCTS</t>
  </si>
  <si>
    <t>BANK PRODUCT: LOAN</t>
  </si>
  <si>
    <t>RATE (%)</t>
  </si>
  <si>
    <t>LOAN PERIOD (YEARS)</t>
  </si>
  <si>
    <t>LOAN</t>
  </si>
  <si>
    <t>PRICES</t>
  </si>
  <si>
    <t>RESSOURCES</t>
  </si>
  <si>
    <t>NB SCENARIOS</t>
  </si>
  <si>
    <t>CURRENCY</t>
  </si>
  <si>
    <t>€</t>
  </si>
  <si>
    <t>NB RESSOURCES</t>
  </si>
  <si>
    <t>SCENARIO 1</t>
  </si>
  <si>
    <t>RESSOURCE 1ID</t>
  </si>
  <si>
    <t>PRICE R1</t>
  </si>
  <si>
    <t>UNIT R1</t>
  </si>
  <si>
    <t>&lt;- REPEAT IT THE NUMBER OF TIME YOU WANT IF</t>
  </si>
  <si>
    <t>LINEAR INTER</t>
  </si>
  <si>
    <t>SCENARIO 2</t>
  </si>
  <si>
    <t>SCENARIO 3</t>
  </si>
  <si>
    <t>FREE ALLOWANCE</t>
  </si>
  <si>
    <t>% OF TOTAL OR S (STRESHOLD)</t>
  </si>
  <si>
    <t>COMBINATIONS</t>
  </si>
  <si>
    <t>FREE ALLOWANCES ON THE OTHER SHEET</t>
  </si>
  <si>
    <t>PRIORITY INDUSTRY</t>
  </si>
  <si>
    <t>NORMAL</t>
  </si>
  <si>
    <t>NORM</t>
  </si>
  <si>
    <t>PRICE</t>
  </si>
  <si>
    <t>PENALTIES</t>
  </si>
  <si>
    <t>PI-EAU</t>
  </si>
  <si>
    <t>N-EAU</t>
  </si>
  <si>
    <t>0.36</t>
  </si>
  <si>
    <t>LINEAR&amp;BROWNIEN</t>
  </si>
  <si>
    <t>OTHER</t>
  </si>
  <si>
    <t>CO2 UNIT</t>
  </si>
  <si>
    <t>VALUE R1</t>
  </si>
  <si>
    <t>RELAX INTEGRAL</t>
  </si>
  <si>
    <t>PRICES_EUA</t>
  </si>
  <si>
    <t>SUBS_NO</t>
  </si>
  <si>
    <t>TECH_ID1</t>
  </si>
  <si>
    <t>TECH_ID2</t>
  </si>
  <si>
    <t>…</t>
  </si>
  <si>
    <t>TYPE (CAPEX/OPEX)</t>
  </si>
  <si>
    <t>YEAR OR RESSOURCE ID</t>
  </si>
  <si>
    <t>EUA</t>
  </si>
  <si>
    <t>TOTAL ANNUAL OPEX</t>
  </si>
  <si>
    <t>CHANGE FUEL FOR YELLOW H2</t>
  </si>
  <si>
    <t>CHANGE FUEL FOR BLUE H2</t>
  </si>
  <si>
    <t>CHANGE FUEL FOR GREEN H2</t>
  </si>
  <si>
    <t>CHANGE FUEL FOR GREY H2</t>
  </si>
  <si>
    <t>FUEL_TO_H2_Y</t>
  </si>
  <si>
    <t>FUEL_TO_H2_B</t>
  </si>
  <si>
    <t>FUEL_TO_H2_GN</t>
  </si>
  <si>
    <t>FUEL_TO_H2_GY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</si>
</sst>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8" formatCode="#,##0.00\ &quot;€&quot;;[Red]\-#,##0.00\ &quot;€&quot;"/>
    <numFmt numFmtId="164" formatCode="#,##0&quot;€&quot;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1" fillId="0" borderId="2" xfId="0" applyFont="1" applyBorder="1" applyAlignment="1">
      <alignment horizontal="left"/>
    </xf>
    <xf numFmtId="4" fontId="1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left"/>
    </xf>
    <xf numFmtId="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0" xfId="0" applyNumberFormat="1" applyFont="1" applyAlignment="1">
      <alignment horizontal="left"/>
    </xf>
    <xf numFmtId="4" fontId="1" fillId="0" borderId="2" xfId="0" applyNumberFormat="1" applyFont="1" applyBorder="1" applyAlignment="1">
      <alignment horizontal="left"/>
    </xf>
    <xf numFmtId="10" fontId="1" fillId="0" borderId="0" xfId="0" applyNumberFormat="1" applyFont="1"/>
    <xf numFmtId="1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top" wrapText="1"/>
    </xf>
    <xf numFmtId="9" fontId="1" fillId="0" borderId="0" xfId="0" applyNumberFormat="1" applyFont="1" applyAlignment="1">
      <alignment horizontal="left"/>
    </xf>
    <xf numFmtId="9" fontId="0" fillId="0" borderId="0" xfId="0" applyNumberFormat="1"/>
    <xf numFmtId="6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9" fontId="3" fillId="0" borderId="0" xfId="0" applyNumberFormat="1" applyFont="1" applyAlignment="1">
      <alignment horizontal="center"/>
    </xf>
    <xf numFmtId="8" fontId="0" fillId="0" borderId="0" xfId="0" applyNumberForma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4" fontId="3" fillId="0" borderId="0" xfId="0" applyNumberFormat="1" applyFont="1" applyAlignment="1">
      <alignment horizontal="left"/>
    </xf>
    <xf numFmtId="4" fontId="3" fillId="0" borderId="1" xfId="0" applyNumberFormat="1" applyFont="1" applyBorder="1" applyAlignment="1">
      <alignment horizontal="left"/>
    </xf>
    <xf numFmtId="4" fontId="3" fillId="0" borderId="2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9" fontId="3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outlinePr summaryBelow="0" summaryRight="0"/>
  </sheetPr>
  <dimension ref="A1"/>
  <sheetViews>
    <sheetView workbookViewId="0"/>
  </sheetViews>
  <sheetFormatPr defaultColWidth="12.59765625" defaultRowHeight="15.75" customHeight="1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C78D8"/>
    <outlinePr summaryBelow="0" summaryRight="0"/>
  </sheetPr>
  <dimension ref="A1:Z1014"/>
  <sheetViews>
    <sheetView showGridLines="0" topLeftCell="A41" workbookViewId="0">
      <selection activeCell="C27" sqref="C27"/>
    </sheetView>
  </sheetViews>
  <sheetFormatPr defaultColWidth="12.59765625" defaultRowHeight="15.75" customHeight="1" x14ac:dyDescent="0.35"/>
  <cols>
    <col min="1" max="1" width="11.59765625" customWidth="1"/>
    <col min="2" max="2" width="24.59765625" customWidth="1"/>
    <col min="4" max="4" width="14.86328125" customWidth="1"/>
    <col min="6" max="6" width="15.73046875" customWidth="1"/>
  </cols>
  <sheetData>
    <row r="1" spans="1:2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2" t="s">
        <v>0</v>
      </c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1"/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1" t="s">
        <v>3</v>
      </c>
      <c r="B4" s="3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1"/>
      <c r="B5" s="1" t="s">
        <v>5</v>
      </c>
      <c r="C5" s="1" t="s">
        <v>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1"/>
      <c r="B6" s="1" t="s">
        <v>7</v>
      </c>
      <c r="C6" s="1">
        <v>2025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1"/>
      <c r="B7" s="1" t="s">
        <v>8</v>
      </c>
      <c r="C7" s="1">
        <v>25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1"/>
      <c r="B8" s="1" t="s">
        <v>9</v>
      </c>
      <c r="C8" s="1">
        <v>40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1"/>
      <c r="B9" s="1" t="s">
        <v>10</v>
      </c>
      <c r="C9" s="18">
        <v>0.9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1"/>
      <c r="B10" s="1" t="s">
        <v>316</v>
      </c>
      <c r="C10" s="34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4" t="s">
        <v>0</v>
      </c>
      <c r="B11" s="4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2" t="s">
        <v>12</v>
      </c>
      <c r="B13" s="2" t="s">
        <v>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1" t="s">
        <v>3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19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1"/>
      <c r="B15" s="1" t="s">
        <v>20</v>
      </c>
      <c r="C15" s="1" t="s">
        <v>21</v>
      </c>
      <c r="D15" s="1" t="s">
        <v>20</v>
      </c>
      <c r="E15" s="1" t="s">
        <v>22</v>
      </c>
      <c r="F15" s="1" t="s">
        <v>23</v>
      </c>
      <c r="G15" s="1">
        <v>240000</v>
      </c>
      <c r="H15" s="1" t="s">
        <v>24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4" t="s">
        <v>12</v>
      </c>
      <c r="B16" s="4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2" t="s">
        <v>25</v>
      </c>
      <c r="B18" s="2" t="s">
        <v>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 t="s">
        <v>3</v>
      </c>
      <c r="B19" s="1" t="s">
        <v>15</v>
      </c>
      <c r="C19" s="1" t="s">
        <v>14</v>
      </c>
      <c r="D19" s="1" t="s">
        <v>16</v>
      </c>
      <c r="E19" s="1" t="s">
        <v>26</v>
      </c>
      <c r="F19" s="3" t="s">
        <v>19</v>
      </c>
      <c r="G19" s="1" t="s">
        <v>27</v>
      </c>
      <c r="H19" s="1"/>
      <c r="I19" s="1" t="s">
        <v>28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1"/>
      <c r="B20" s="1" t="s">
        <v>29</v>
      </c>
      <c r="C20" s="1" t="s">
        <v>30</v>
      </c>
      <c r="D20" s="1" t="s">
        <v>31</v>
      </c>
      <c r="E20" s="1" t="s">
        <v>32</v>
      </c>
      <c r="F20" s="1" t="s">
        <v>33</v>
      </c>
      <c r="G20" s="1" t="s">
        <v>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1"/>
      <c r="B21" s="1" t="s">
        <v>34</v>
      </c>
      <c r="C21" s="1" t="s">
        <v>35</v>
      </c>
      <c r="D21" s="1" t="s">
        <v>36</v>
      </c>
      <c r="E21" s="1" t="s">
        <v>37</v>
      </c>
      <c r="F21" s="1" t="s">
        <v>38</v>
      </c>
      <c r="G21" s="1" t="s">
        <v>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/>
      <c r="B22" s="1" t="s">
        <v>39</v>
      </c>
      <c r="C22" s="1" t="s">
        <v>40</v>
      </c>
      <c r="D22" s="1" t="s">
        <v>36</v>
      </c>
      <c r="E22" s="1" t="s">
        <v>39</v>
      </c>
      <c r="F22" s="1" t="s">
        <v>41</v>
      </c>
      <c r="G22" s="1" t="s">
        <v>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"/>
      <c r="B23" s="1" t="s">
        <v>42</v>
      </c>
      <c r="C23" s="1" t="s">
        <v>43</v>
      </c>
      <c r="D23" s="1" t="s">
        <v>18</v>
      </c>
      <c r="E23" s="1" t="s">
        <v>37</v>
      </c>
      <c r="F23" s="1" t="s">
        <v>44</v>
      </c>
      <c r="G23" s="1" t="s">
        <v>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1"/>
      <c r="B24" s="1" t="s">
        <v>45</v>
      </c>
      <c r="C24" s="1" t="s">
        <v>46</v>
      </c>
      <c r="D24" s="1" t="s">
        <v>18</v>
      </c>
      <c r="E24" s="1" t="s">
        <v>37</v>
      </c>
      <c r="F24" s="1" t="s">
        <v>44</v>
      </c>
      <c r="G24" s="1" t="s">
        <v>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"/>
      <c r="B25" s="1" t="s">
        <v>47</v>
      </c>
      <c r="C25" s="1" t="s">
        <v>48</v>
      </c>
      <c r="D25" s="1" t="s">
        <v>18</v>
      </c>
      <c r="E25" s="1" t="s">
        <v>37</v>
      </c>
      <c r="F25" s="1" t="s">
        <v>44</v>
      </c>
      <c r="G25" s="1" t="s">
        <v>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1"/>
      <c r="B26" s="1" t="s">
        <v>49</v>
      </c>
      <c r="C26" s="1" t="s">
        <v>50</v>
      </c>
      <c r="D26" s="1" t="s">
        <v>18</v>
      </c>
      <c r="E26" s="1" t="s">
        <v>37</v>
      </c>
      <c r="F26" s="1" t="s">
        <v>44</v>
      </c>
      <c r="G26" s="1" t="s">
        <v>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"/>
      <c r="B27" s="1" t="s">
        <v>51</v>
      </c>
      <c r="C27" s="1" t="s">
        <v>52</v>
      </c>
      <c r="D27" s="1" t="s">
        <v>36</v>
      </c>
      <c r="E27" s="1" t="s">
        <v>37</v>
      </c>
      <c r="F27" s="1" t="s">
        <v>53</v>
      </c>
      <c r="G27" s="1" t="s">
        <v>54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/>
      <c r="B28" s="1" t="s">
        <v>56</v>
      </c>
      <c r="C28" s="1" t="s">
        <v>57</v>
      </c>
      <c r="D28" s="1" t="s">
        <v>36</v>
      </c>
      <c r="E28" s="1" t="s">
        <v>37</v>
      </c>
      <c r="F28" s="1" t="s">
        <v>53</v>
      </c>
      <c r="G28" s="1" t="s">
        <v>54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/>
      <c r="B29" s="1" t="s">
        <v>58</v>
      </c>
      <c r="C29" s="1" t="s">
        <v>59</v>
      </c>
      <c r="D29" s="1" t="s">
        <v>36</v>
      </c>
      <c r="E29" s="1" t="s">
        <v>37</v>
      </c>
      <c r="F29" s="1" t="s">
        <v>53</v>
      </c>
      <c r="G29" s="1" t="s">
        <v>54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/>
      <c r="B30" s="1" t="s">
        <v>60</v>
      </c>
      <c r="C30" s="1" t="s">
        <v>61</v>
      </c>
      <c r="D30" s="1" t="s">
        <v>36</v>
      </c>
      <c r="E30" s="1" t="s">
        <v>37</v>
      </c>
      <c r="F30" s="1" t="s">
        <v>53</v>
      </c>
      <c r="G30" s="1" t="s">
        <v>54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/>
      <c r="B31" s="1" t="s">
        <v>64</v>
      </c>
      <c r="C31" s="1" t="s">
        <v>65</v>
      </c>
      <c r="D31" s="1" t="s">
        <v>36</v>
      </c>
      <c r="E31" s="1" t="s">
        <v>37</v>
      </c>
      <c r="F31" s="5" t="s">
        <v>38</v>
      </c>
      <c r="G31" s="1" t="s">
        <v>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4" t="s">
        <v>25</v>
      </c>
      <c r="B32" s="4" t="s">
        <v>11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2" t="s">
        <v>66</v>
      </c>
      <c r="B34" s="2" t="s">
        <v>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 t="s">
        <v>3</v>
      </c>
      <c r="B35" s="1" t="s">
        <v>67</v>
      </c>
      <c r="C35" s="1" t="s">
        <v>68</v>
      </c>
      <c r="D35" s="6" t="s">
        <v>69</v>
      </c>
      <c r="E35" s="1" t="s">
        <v>70</v>
      </c>
      <c r="F35" s="1" t="s">
        <v>68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"/>
      <c r="B36" s="1" t="s">
        <v>71</v>
      </c>
      <c r="C36" s="1">
        <v>1000</v>
      </c>
      <c r="D36" s="1"/>
      <c r="E36" s="1">
        <v>1</v>
      </c>
      <c r="F36" s="1" t="s">
        <v>33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/>
      <c r="B37" s="1" t="s">
        <v>72</v>
      </c>
      <c r="C37" s="1">
        <v>1000</v>
      </c>
      <c r="D37" s="1"/>
      <c r="E37" s="1">
        <v>1</v>
      </c>
      <c r="F37" s="1" t="s">
        <v>38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1"/>
      <c r="B38" s="1" t="s">
        <v>53</v>
      </c>
      <c r="C38" s="1">
        <v>1</v>
      </c>
      <c r="D38" s="1"/>
      <c r="E38" s="1">
        <v>1000000000</v>
      </c>
      <c r="F38" s="1" t="s">
        <v>73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1"/>
      <c r="B39" s="1" t="s">
        <v>73</v>
      </c>
      <c r="C39" s="1">
        <v>1</v>
      </c>
      <c r="D39" s="1"/>
      <c r="E39" s="1">
        <v>2.7769999999999997E-4</v>
      </c>
      <c r="F39" s="1" t="s">
        <v>74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1"/>
      <c r="B40" s="1" t="s">
        <v>72</v>
      </c>
      <c r="C40" s="1">
        <v>1</v>
      </c>
      <c r="D40" s="1"/>
      <c r="E40" s="1">
        <v>1000</v>
      </c>
      <c r="F40" s="1" t="s">
        <v>74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4" t="s">
        <v>66</v>
      </c>
      <c r="B41" s="4" t="s">
        <v>11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2" t="s">
        <v>75</v>
      </c>
      <c r="B43" s="2" t="s">
        <v>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" t="s">
        <v>3</v>
      </c>
      <c r="B44" s="1" t="s">
        <v>76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/>
      <c r="B45" s="1" t="s">
        <v>77</v>
      </c>
      <c r="C45" s="1">
        <v>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 t="s">
        <v>3</v>
      </c>
      <c r="B46" s="1" t="s">
        <v>78</v>
      </c>
      <c r="C46" s="1" t="s">
        <v>79</v>
      </c>
      <c r="D46" s="1" t="s">
        <v>80</v>
      </c>
      <c r="E46" s="1" t="s">
        <v>81</v>
      </c>
      <c r="F46" s="1" t="s">
        <v>82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" t="s">
        <v>78</v>
      </c>
      <c r="C47" s="1" t="s">
        <v>83</v>
      </c>
      <c r="D47" s="1" t="s">
        <v>84</v>
      </c>
      <c r="E47" s="1"/>
      <c r="F47" s="1" t="s">
        <v>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B48" s="1" t="s">
        <v>78</v>
      </c>
      <c r="C48" s="1" t="s">
        <v>85</v>
      </c>
      <c r="D48" s="1" t="s">
        <v>86</v>
      </c>
      <c r="E48" s="1"/>
      <c r="F48" s="1" t="s">
        <v>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B49" s="1" t="s">
        <v>78</v>
      </c>
      <c r="C49" s="1" t="s">
        <v>87</v>
      </c>
      <c r="D49" s="1" t="s">
        <v>88</v>
      </c>
      <c r="E49" s="1"/>
      <c r="F49" s="1" t="s">
        <v>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4" t="s">
        <v>75</v>
      </c>
      <c r="B50" s="4" t="s">
        <v>11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2" t="s">
        <v>89</v>
      </c>
      <c r="B52" s="2" t="s">
        <v>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1" t="s">
        <v>3</v>
      </c>
      <c r="B53" s="1" t="s">
        <v>90</v>
      </c>
      <c r="C53" t="s">
        <v>91</v>
      </c>
      <c r="D53" t="s">
        <v>15</v>
      </c>
      <c r="E53" s="1" t="s">
        <v>13</v>
      </c>
      <c r="F53" s="1" t="s">
        <v>92</v>
      </c>
      <c r="G53" s="17" t="s">
        <v>93</v>
      </c>
      <c r="H53" s="1" t="s">
        <v>94</v>
      </c>
      <c r="I53" s="1" t="s">
        <v>95</v>
      </c>
      <c r="J53" s="1" t="s">
        <v>96</v>
      </c>
      <c r="K53" s="1" t="s">
        <v>97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1"/>
      <c r="B54" s="1" t="s">
        <v>98</v>
      </c>
      <c r="C54" t="s">
        <v>104</v>
      </c>
      <c r="D54" s="28" t="s">
        <v>105</v>
      </c>
      <c r="E54" s="1" t="s">
        <v>101</v>
      </c>
      <c r="F54" s="1" t="s">
        <v>30</v>
      </c>
      <c r="G54" s="1" t="s">
        <v>102</v>
      </c>
      <c r="H54" s="1">
        <v>2050</v>
      </c>
      <c r="I54" s="18">
        <v>-0.97</v>
      </c>
      <c r="J54" s="1">
        <v>1990</v>
      </c>
      <c r="K54" s="1" t="s">
        <v>103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1"/>
      <c r="B55" s="1" t="s">
        <v>98</v>
      </c>
      <c r="C55" s="28" t="s">
        <v>99</v>
      </c>
      <c r="D55" s="28" t="s">
        <v>100</v>
      </c>
      <c r="E55" s="1" t="s">
        <v>101</v>
      </c>
      <c r="F55" s="1" t="s">
        <v>30</v>
      </c>
      <c r="G55" s="1" t="s">
        <v>102</v>
      </c>
      <c r="H55" s="1">
        <v>2040</v>
      </c>
      <c r="I55" s="18">
        <v>-0.9</v>
      </c>
      <c r="J55" s="1">
        <v>1990</v>
      </c>
      <c r="K55" s="1" t="s">
        <v>103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1"/>
      <c r="B56" s="1" t="s">
        <v>98</v>
      </c>
      <c r="C56" t="s">
        <v>104</v>
      </c>
      <c r="D56" s="28" t="s">
        <v>105</v>
      </c>
      <c r="E56" s="1" t="s">
        <v>101</v>
      </c>
      <c r="F56" s="1" t="s">
        <v>30</v>
      </c>
      <c r="G56" s="1" t="s">
        <v>102</v>
      </c>
      <c r="H56" s="1">
        <v>2030</v>
      </c>
      <c r="I56" s="18">
        <v>-0.68</v>
      </c>
      <c r="J56" s="1">
        <v>1990</v>
      </c>
      <c r="K56" s="1" t="s">
        <v>103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4" t="s">
        <v>89</v>
      </c>
      <c r="B57" s="4" t="s">
        <v>11</v>
      </c>
      <c r="C57" s="1"/>
      <c r="D57" s="1"/>
      <c r="E57" s="1"/>
      <c r="F57" s="1"/>
      <c r="G57" s="1"/>
      <c r="H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2" t="s">
        <v>106</v>
      </c>
      <c r="B59" s="2" t="s">
        <v>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1" t="s">
        <v>3</v>
      </c>
      <c r="B60" s="1" t="s">
        <v>107</v>
      </c>
      <c r="C60" t="s">
        <v>108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1"/>
      <c r="B61" s="1" t="s">
        <v>109</v>
      </c>
      <c r="C61" s="28" t="s">
        <v>6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1"/>
      <c r="B62" s="1" t="s">
        <v>110</v>
      </c>
      <c r="C62" s="28" t="s">
        <v>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1"/>
      <c r="B63" s="1" t="s">
        <v>111</v>
      </c>
      <c r="C63" s="28" t="s">
        <v>6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1"/>
      <c r="B64" s="1" t="s">
        <v>112</v>
      </c>
      <c r="C64" s="28" t="s">
        <v>6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1"/>
      <c r="B65" s="1" t="s">
        <v>113</v>
      </c>
      <c r="C65" s="28" t="s">
        <v>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1"/>
      <c r="B66" s="1" t="s">
        <v>114</v>
      </c>
      <c r="C66" s="28" t="s">
        <v>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1"/>
      <c r="B67" s="1" t="s">
        <v>115</v>
      </c>
      <c r="C67" s="28" t="s">
        <v>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1"/>
      <c r="B68" s="1" t="s">
        <v>116</v>
      </c>
      <c r="C68" s="28" t="s">
        <v>6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1"/>
      <c r="B69" s="1" t="s">
        <v>117</v>
      </c>
      <c r="C69" s="28" t="s">
        <v>6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B70" s="1" t="s">
        <v>118</v>
      </c>
      <c r="C70" s="28" t="s">
        <v>6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B71" s="1" t="s">
        <v>119</v>
      </c>
      <c r="C71" s="28" t="s">
        <v>6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B72" s="22" t="s">
        <v>325</v>
      </c>
      <c r="C72" s="28" t="s">
        <v>6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4" t="s">
        <v>106</v>
      </c>
      <c r="B73" s="4" t="s">
        <v>11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  <outlinePr summaryBelow="0" summaryRight="0"/>
  </sheetPr>
  <dimension ref="A1:AA1030"/>
  <sheetViews>
    <sheetView showGridLines="0" topLeftCell="A52" workbookViewId="0">
      <selection sqref="A1:XFD60"/>
    </sheetView>
  </sheetViews>
  <sheetFormatPr defaultColWidth="12.59765625" defaultRowHeight="15.75" customHeight="1" x14ac:dyDescent="0.35"/>
  <cols>
    <col min="1" max="1" width="16.59765625" customWidth="1"/>
    <col min="2" max="2" width="27.73046875" customWidth="1"/>
    <col min="3" max="3" width="14.59765625" customWidth="1"/>
    <col min="4" max="4" width="14.86328125" customWidth="1"/>
    <col min="6" max="6" width="15.73046875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5">
      <c r="A2" s="2" t="s">
        <v>0</v>
      </c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5">
      <c r="A3" s="1"/>
      <c r="B3" s="1" t="s">
        <v>120</v>
      </c>
      <c r="C3" s="1" t="s">
        <v>121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5">
      <c r="A4" s="4" t="s">
        <v>0</v>
      </c>
      <c r="B4" s="4" t="s">
        <v>11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5">
      <c r="A6" s="2" t="s">
        <v>122</v>
      </c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s="1" t="s">
        <v>3</v>
      </c>
      <c r="B7" s="1" t="s">
        <v>15</v>
      </c>
      <c r="C7" s="1" t="s">
        <v>14</v>
      </c>
      <c r="D7" s="3" t="s">
        <v>19</v>
      </c>
      <c r="E7" s="1" t="s">
        <v>17</v>
      </c>
      <c r="F7" s="3" t="s">
        <v>123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5">
      <c r="A8" s="1"/>
      <c r="B8" s="1" t="s">
        <v>124</v>
      </c>
      <c r="C8" s="1" t="s">
        <v>124</v>
      </c>
      <c r="D8" s="1" t="s">
        <v>33</v>
      </c>
      <c r="E8" s="1"/>
      <c r="F8" s="1"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5">
      <c r="A9" s="1"/>
      <c r="B9" s="1" t="s">
        <v>125</v>
      </c>
      <c r="C9" s="1" t="s">
        <v>126</v>
      </c>
      <c r="D9" s="1" t="s">
        <v>127</v>
      </c>
      <c r="E9" s="1"/>
      <c r="F9" s="1">
        <v>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5">
      <c r="A10" s="1"/>
      <c r="B10" s="1" t="s">
        <v>128</v>
      </c>
      <c r="C10" s="1" t="s">
        <v>129</v>
      </c>
      <c r="D10" s="1" t="s">
        <v>127</v>
      </c>
      <c r="E10" s="1"/>
      <c r="F10" s="1">
        <v>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s="1"/>
      <c r="B11" s="1" t="s">
        <v>326</v>
      </c>
      <c r="C11" s="1" t="s">
        <v>330</v>
      </c>
      <c r="D11" s="1" t="s">
        <v>127</v>
      </c>
      <c r="E11" s="1"/>
      <c r="F11" s="1">
        <v>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s="1"/>
      <c r="B12" s="1" t="s">
        <v>327</v>
      </c>
      <c r="C12" s="1" t="s">
        <v>331</v>
      </c>
      <c r="D12" s="1" t="s">
        <v>127</v>
      </c>
      <c r="E12" s="1"/>
      <c r="F12" s="1">
        <v>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5">
      <c r="A13" s="1"/>
      <c r="B13" s="1" t="s">
        <v>328</v>
      </c>
      <c r="C13" s="1" t="s">
        <v>332</v>
      </c>
      <c r="D13" s="1" t="s">
        <v>127</v>
      </c>
      <c r="E13" s="1"/>
      <c r="F13" s="1">
        <v>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5">
      <c r="A14" s="1"/>
      <c r="B14" s="1" t="s">
        <v>329</v>
      </c>
      <c r="C14" s="1" t="s">
        <v>333</v>
      </c>
      <c r="D14" s="1" t="s">
        <v>127</v>
      </c>
      <c r="E14" s="1"/>
      <c r="F14" s="1">
        <v>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5">
      <c r="A15" s="1"/>
      <c r="B15" s="1" t="s">
        <v>131</v>
      </c>
      <c r="C15" s="1" t="s">
        <v>132</v>
      </c>
      <c r="D15" s="1" t="s">
        <v>133</v>
      </c>
      <c r="E15" s="1"/>
      <c r="F15" s="1"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5">
      <c r="A16" s="4" t="s">
        <v>122</v>
      </c>
      <c r="B16" s="4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5">
      <c r="A18" s="2" t="s">
        <v>134</v>
      </c>
      <c r="B18" s="2" t="s">
        <v>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s="1" t="s">
        <v>3</v>
      </c>
      <c r="B19" s="1" t="s">
        <v>14</v>
      </c>
      <c r="C19" s="1" t="s">
        <v>135</v>
      </c>
      <c r="D19" s="1" t="s">
        <v>136</v>
      </c>
      <c r="E19" s="3" t="s">
        <v>68</v>
      </c>
      <c r="F19" s="3" t="s">
        <v>19</v>
      </c>
      <c r="G19" s="3" t="s">
        <v>137</v>
      </c>
      <c r="H19" s="1" t="s">
        <v>138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s="1"/>
      <c r="B20" s="1" t="s">
        <v>124</v>
      </c>
      <c r="C20" s="1" t="s">
        <v>30</v>
      </c>
      <c r="D20" s="3" t="s">
        <v>139</v>
      </c>
      <c r="E20" s="35">
        <v>-0.875</v>
      </c>
      <c r="F20" s="3" t="s">
        <v>140</v>
      </c>
      <c r="G20" s="1" t="s">
        <v>30</v>
      </c>
      <c r="H20" s="1" t="s">
        <v>141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5">
      <c r="A21" s="1"/>
      <c r="B21" s="1" t="s">
        <v>124</v>
      </c>
      <c r="C21" s="8" t="s">
        <v>35</v>
      </c>
      <c r="D21" s="3" t="s">
        <v>142</v>
      </c>
      <c r="E21" s="35">
        <v>1.3885000000000001</v>
      </c>
      <c r="F21" s="3" t="s">
        <v>143</v>
      </c>
      <c r="G21" s="1" t="s">
        <v>30</v>
      </c>
      <c r="H21" s="1" t="s">
        <v>144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5">
      <c r="A22" s="1"/>
      <c r="B22" s="1" t="s">
        <v>126</v>
      </c>
      <c r="C22" s="1" t="s">
        <v>65</v>
      </c>
      <c r="D22" s="1" t="s">
        <v>139</v>
      </c>
      <c r="E22" s="35">
        <v>-1</v>
      </c>
      <c r="F22" s="3" t="s">
        <v>140</v>
      </c>
      <c r="G22" s="1" t="s">
        <v>65</v>
      </c>
      <c r="H22" s="1" t="s">
        <v>141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5">
      <c r="A23" s="1"/>
      <c r="B23" s="1" t="s">
        <v>126</v>
      </c>
      <c r="C23" s="1" t="s">
        <v>30</v>
      </c>
      <c r="D23" s="1" t="s">
        <v>139</v>
      </c>
      <c r="E23" s="35">
        <v>-1</v>
      </c>
      <c r="F23" s="3" t="s">
        <v>140</v>
      </c>
      <c r="G23" s="1" t="s">
        <v>30</v>
      </c>
      <c r="H23" s="1" t="s">
        <v>145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5">
      <c r="A24" s="1"/>
      <c r="B24" s="1" t="s">
        <v>126</v>
      </c>
      <c r="C24" s="8" t="s">
        <v>35</v>
      </c>
      <c r="D24" s="1" t="s">
        <v>142</v>
      </c>
      <c r="E24" s="35">
        <v>1.052632</v>
      </c>
      <c r="F24" s="3" t="s">
        <v>140</v>
      </c>
      <c r="G24" s="1" t="s">
        <v>65</v>
      </c>
      <c r="H24" s="1" t="s">
        <v>141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5">
      <c r="A25" s="1"/>
      <c r="B25" s="1" t="s">
        <v>330</v>
      </c>
      <c r="C25" s="1" t="s">
        <v>65</v>
      </c>
      <c r="D25" s="1" t="s">
        <v>139</v>
      </c>
      <c r="E25" s="35">
        <v>-1</v>
      </c>
      <c r="F25" s="3" t="s">
        <v>140</v>
      </c>
      <c r="G25" s="1" t="s">
        <v>65</v>
      </c>
      <c r="H25" s="1" t="s">
        <v>141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5">
      <c r="A26" s="1"/>
      <c r="B26" s="1" t="s">
        <v>330</v>
      </c>
      <c r="C26" s="1" t="s">
        <v>57</v>
      </c>
      <c r="D26" s="1" t="s">
        <v>142</v>
      </c>
      <c r="E26" s="9">
        <v>1</v>
      </c>
      <c r="F26" s="3" t="s">
        <v>140</v>
      </c>
      <c r="G26" s="1" t="s">
        <v>65</v>
      </c>
      <c r="H26" s="1" t="s">
        <v>141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5">
      <c r="B27" s="1" t="s">
        <v>330</v>
      </c>
      <c r="C27" t="s">
        <v>30</v>
      </c>
      <c r="D27" t="s">
        <v>139</v>
      </c>
      <c r="E27" s="36">
        <v>-1</v>
      </c>
      <c r="F27" t="s">
        <v>140</v>
      </c>
      <c r="G27" t="s">
        <v>30</v>
      </c>
      <c r="H27" t="s">
        <v>145</v>
      </c>
    </row>
    <row r="28" spans="1:27" x14ac:dyDescent="0.35">
      <c r="B28" s="1" t="s">
        <v>331</v>
      </c>
      <c r="C28" s="1" t="s">
        <v>65</v>
      </c>
      <c r="D28" s="1" t="s">
        <v>139</v>
      </c>
      <c r="E28" s="35">
        <v>-1</v>
      </c>
      <c r="F28" s="3" t="s">
        <v>140</v>
      </c>
      <c r="G28" s="1" t="s">
        <v>65</v>
      </c>
      <c r="H28" s="1" t="s">
        <v>141</v>
      </c>
    </row>
    <row r="29" spans="1:27" x14ac:dyDescent="0.35">
      <c r="B29" s="1" t="s">
        <v>331</v>
      </c>
      <c r="C29" s="1" t="s">
        <v>61</v>
      </c>
      <c r="D29" s="1" t="s">
        <v>142</v>
      </c>
      <c r="E29" s="9">
        <v>1</v>
      </c>
      <c r="F29" s="3" t="s">
        <v>140</v>
      </c>
      <c r="G29" s="1" t="s">
        <v>65</v>
      </c>
      <c r="H29" s="1" t="s">
        <v>141</v>
      </c>
    </row>
    <row r="30" spans="1:27" x14ac:dyDescent="0.35">
      <c r="B30" t="s">
        <v>331</v>
      </c>
      <c r="C30" t="s">
        <v>30</v>
      </c>
      <c r="D30" t="s">
        <v>139</v>
      </c>
      <c r="E30" s="36">
        <v>-1</v>
      </c>
      <c r="F30" t="s">
        <v>140</v>
      </c>
      <c r="G30" t="s">
        <v>30</v>
      </c>
      <c r="H30" t="s">
        <v>145</v>
      </c>
    </row>
    <row r="31" spans="1:27" x14ac:dyDescent="0.35">
      <c r="B31" s="1" t="s">
        <v>332</v>
      </c>
      <c r="C31" s="1" t="s">
        <v>65</v>
      </c>
      <c r="D31" s="1" t="s">
        <v>139</v>
      </c>
      <c r="E31" s="35">
        <v>-1</v>
      </c>
      <c r="F31" s="3" t="s">
        <v>140</v>
      </c>
      <c r="G31" s="1" t="s">
        <v>65</v>
      </c>
      <c r="H31" s="1" t="s">
        <v>141</v>
      </c>
    </row>
    <row r="32" spans="1:27" x14ac:dyDescent="0.35">
      <c r="B32" s="1" t="s">
        <v>332</v>
      </c>
      <c r="C32" s="1" t="s">
        <v>52</v>
      </c>
      <c r="D32" s="1" t="s">
        <v>142</v>
      </c>
      <c r="E32" s="9">
        <v>1</v>
      </c>
      <c r="F32" s="3" t="s">
        <v>140</v>
      </c>
      <c r="G32" s="1" t="s">
        <v>65</v>
      </c>
      <c r="H32" s="1" t="s">
        <v>141</v>
      </c>
    </row>
    <row r="33" spans="1:27" x14ac:dyDescent="0.35">
      <c r="B33" s="1" t="s">
        <v>332</v>
      </c>
      <c r="C33" t="s">
        <v>30</v>
      </c>
      <c r="D33" t="s">
        <v>139</v>
      </c>
      <c r="E33" s="36">
        <v>-1</v>
      </c>
      <c r="F33" t="s">
        <v>140</v>
      </c>
      <c r="G33" t="s">
        <v>30</v>
      </c>
      <c r="H33" t="s">
        <v>145</v>
      </c>
    </row>
    <row r="34" spans="1:27" x14ac:dyDescent="0.35">
      <c r="B34" s="1" t="s">
        <v>333</v>
      </c>
      <c r="C34" s="1" t="s">
        <v>65</v>
      </c>
      <c r="D34" s="1" t="s">
        <v>139</v>
      </c>
      <c r="E34" s="35">
        <v>-1</v>
      </c>
      <c r="F34" s="3" t="s">
        <v>140</v>
      </c>
      <c r="G34" s="1" t="s">
        <v>65</v>
      </c>
      <c r="H34" s="1" t="s">
        <v>141</v>
      </c>
    </row>
    <row r="35" spans="1:27" x14ac:dyDescent="0.35">
      <c r="B35" s="1" t="s">
        <v>333</v>
      </c>
      <c r="C35" s="1" t="s">
        <v>59</v>
      </c>
      <c r="D35" s="1" t="s">
        <v>142</v>
      </c>
      <c r="E35" s="9">
        <v>1</v>
      </c>
      <c r="F35" s="3" t="s">
        <v>140</v>
      </c>
      <c r="G35" s="1" t="s">
        <v>65</v>
      </c>
      <c r="H35" s="1" t="s">
        <v>141</v>
      </c>
    </row>
    <row r="36" spans="1:27" x14ac:dyDescent="0.35">
      <c r="B36" s="1" t="s">
        <v>333</v>
      </c>
      <c r="C36" t="s">
        <v>30</v>
      </c>
      <c r="D36" t="s">
        <v>139</v>
      </c>
      <c r="E36" s="36">
        <v>-1</v>
      </c>
      <c r="F36" t="s">
        <v>140</v>
      </c>
      <c r="G36" t="s">
        <v>30</v>
      </c>
      <c r="H36" t="s">
        <v>145</v>
      </c>
    </row>
    <row r="37" spans="1:27" x14ac:dyDescent="0.35">
      <c r="A37" s="1"/>
      <c r="B37" s="1" t="s">
        <v>129</v>
      </c>
      <c r="C37" s="8" t="s">
        <v>35</v>
      </c>
      <c r="D37" s="1" t="s">
        <v>142</v>
      </c>
      <c r="E37" s="9">
        <v>2</v>
      </c>
      <c r="F37" s="3" t="s">
        <v>140</v>
      </c>
      <c r="G37" s="1" t="s">
        <v>65</v>
      </c>
      <c r="H37" s="1" t="s">
        <v>145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5">
      <c r="A38" s="1"/>
      <c r="B38" s="1" t="s">
        <v>129</v>
      </c>
      <c r="C38" s="8" t="s">
        <v>40</v>
      </c>
      <c r="D38" s="1" t="s">
        <v>142</v>
      </c>
      <c r="E38" s="9">
        <v>0.23</v>
      </c>
      <c r="F38" s="3" t="s">
        <v>41</v>
      </c>
      <c r="G38" s="1" t="s">
        <v>65</v>
      </c>
      <c r="H38" s="1" t="s">
        <v>145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5">
      <c r="A39" s="1"/>
      <c r="B39" s="1" t="s">
        <v>129</v>
      </c>
      <c r="C39" s="1" t="s">
        <v>57</v>
      </c>
      <c r="D39" s="1" t="s">
        <v>142</v>
      </c>
      <c r="E39" s="9">
        <v>1</v>
      </c>
      <c r="F39" s="3" t="s">
        <v>140</v>
      </c>
      <c r="G39" s="1" t="s">
        <v>65</v>
      </c>
      <c r="H39" s="1" t="s">
        <v>145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5">
      <c r="A40" s="1"/>
      <c r="B40" s="1" t="s">
        <v>129</v>
      </c>
      <c r="C40" s="1" t="s">
        <v>65</v>
      </c>
      <c r="D40" s="1" t="s">
        <v>139</v>
      </c>
      <c r="E40" s="35">
        <v>-1</v>
      </c>
      <c r="F40" s="3" t="s">
        <v>140</v>
      </c>
      <c r="G40" s="1" t="s">
        <v>65</v>
      </c>
      <c r="H40" s="1" t="s">
        <v>145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5">
      <c r="A41" s="1"/>
      <c r="B41" s="1" t="s">
        <v>129</v>
      </c>
      <c r="C41" s="1" t="s">
        <v>30</v>
      </c>
      <c r="D41" s="1" t="s">
        <v>139</v>
      </c>
      <c r="E41" s="35">
        <v>-1</v>
      </c>
      <c r="F41" s="3" t="s">
        <v>140</v>
      </c>
      <c r="G41" s="1" t="s">
        <v>30</v>
      </c>
      <c r="H41" s="1" t="s">
        <v>145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5">
      <c r="A42" s="1"/>
      <c r="B42" s="1" t="s">
        <v>132</v>
      </c>
      <c r="C42" s="1" t="s">
        <v>101</v>
      </c>
      <c r="D42" s="1" t="s">
        <v>139</v>
      </c>
      <c r="E42" s="9">
        <v>-5.0000000000000001E-3</v>
      </c>
      <c r="F42" s="3" t="s">
        <v>140</v>
      </c>
      <c r="G42" s="1" t="s">
        <v>101</v>
      </c>
      <c r="H42" s="1" t="s">
        <v>141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5">
      <c r="A43" s="4" t="s">
        <v>134</v>
      </c>
      <c r="B43" s="4" t="s">
        <v>11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5">
      <c r="A44" s="1"/>
      <c r="B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5">
      <c r="A45" s="2" t="s">
        <v>146</v>
      </c>
      <c r="B45" s="2" t="s">
        <v>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5">
      <c r="A46" s="1" t="s">
        <v>3</v>
      </c>
      <c r="B46" s="1" t="s">
        <v>147</v>
      </c>
      <c r="C46" s="3" t="s">
        <v>148</v>
      </c>
      <c r="D46" t="s">
        <v>322</v>
      </c>
      <c r="E46" s="3" t="s">
        <v>149</v>
      </c>
      <c r="F46" s="3" t="s">
        <v>323</v>
      </c>
      <c r="G46" s="1" t="s">
        <v>151</v>
      </c>
      <c r="H46" s="1" t="s">
        <v>152</v>
      </c>
      <c r="I46" s="1" t="s">
        <v>19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5">
      <c r="A47" s="1"/>
      <c r="B47" s="8" t="s">
        <v>124</v>
      </c>
      <c r="C47" s="3" t="s">
        <v>101</v>
      </c>
      <c r="D47" t="s">
        <v>166</v>
      </c>
      <c r="E47" s="3" t="s">
        <v>153</v>
      </c>
      <c r="F47" s="9" t="s">
        <v>101</v>
      </c>
      <c r="G47" s="9">
        <v>88</v>
      </c>
      <c r="H47" s="9" t="s">
        <v>6</v>
      </c>
      <c r="I47" s="9" t="s">
        <v>33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5">
      <c r="A48" s="1"/>
      <c r="B48" s="8" t="s">
        <v>124</v>
      </c>
      <c r="C48" s="3" t="s">
        <v>101</v>
      </c>
      <c r="D48" t="s">
        <v>169</v>
      </c>
      <c r="E48" s="3" t="s">
        <v>154</v>
      </c>
      <c r="F48" s="9" t="s">
        <v>324</v>
      </c>
      <c r="G48" s="9">
        <v>91.67</v>
      </c>
      <c r="H48" s="9" t="s">
        <v>6</v>
      </c>
      <c r="I48" s="9" t="s">
        <v>33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5">
      <c r="A49" s="1"/>
      <c r="B49" s="8" t="s">
        <v>126</v>
      </c>
      <c r="C49" s="3" t="s">
        <v>101</v>
      </c>
      <c r="D49" t="s">
        <v>166</v>
      </c>
      <c r="E49" s="3" t="s">
        <v>153</v>
      </c>
      <c r="F49" s="9" t="s">
        <v>101</v>
      </c>
      <c r="G49" s="9">
        <v>1400000</v>
      </c>
      <c r="H49" s="9" t="s">
        <v>6</v>
      </c>
      <c r="I49" s="9" t="s">
        <v>127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5">
      <c r="A50" s="1"/>
      <c r="B50" s="1" t="s">
        <v>330</v>
      </c>
      <c r="C50" s="3" t="s">
        <v>101</v>
      </c>
      <c r="D50" t="s">
        <v>166</v>
      </c>
      <c r="E50" s="3" t="s">
        <v>153</v>
      </c>
      <c r="F50" s="9" t="s">
        <v>101</v>
      </c>
      <c r="G50" s="9">
        <v>341000</v>
      </c>
      <c r="H50" s="9" t="s">
        <v>6</v>
      </c>
      <c r="I50" s="9" t="s">
        <v>127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35">
      <c r="A51" s="1"/>
      <c r="B51" s="1" t="s">
        <v>331</v>
      </c>
      <c r="C51" s="3" t="s">
        <v>101</v>
      </c>
      <c r="D51" t="s">
        <v>166</v>
      </c>
      <c r="E51" s="3" t="s">
        <v>153</v>
      </c>
      <c r="F51" s="9" t="s">
        <v>101</v>
      </c>
      <c r="G51" s="9">
        <v>341000</v>
      </c>
      <c r="H51" s="9" t="s">
        <v>6</v>
      </c>
      <c r="I51" s="9" t="s">
        <v>127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5">
      <c r="A52" s="1"/>
      <c r="B52" s="1" t="s">
        <v>332</v>
      </c>
      <c r="C52" s="3" t="s">
        <v>101</v>
      </c>
      <c r="D52" t="s">
        <v>166</v>
      </c>
      <c r="E52" s="3" t="s">
        <v>153</v>
      </c>
      <c r="F52" s="9" t="s">
        <v>101</v>
      </c>
      <c r="G52" s="9">
        <v>341000</v>
      </c>
      <c r="H52" s="9" t="s">
        <v>6</v>
      </c>
      <c r="I52" s="9" t="s">
        <v>127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5">
      <c r="A53" s="1"/>
      <c r="B53" s="1" t="s">
        <v>333</v>
      </c>
      <c r="C53" s="3" t="s">
        <v>101</v>
      </c>
      <c r="D53" t="s">
        <v>166</v>
      </c>
      <c r="E53" s="3" t="s">
        <v>153</v>
      </c>
      <c r="F53" s="9" t="s">
        <v>101</v>
      </c>
      <c r="G53" s="9">
        <v>341000</v>
      </c>
      <c r="H53" s="9" t="s">
        <v>6</v>
      </c>
      <c r="I53" s="9" t="s">
        <v>127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5">
      <c r="A54" s="1"/>
      <c r="B54" s="8" t="s">
        <v>129</v>
      </c>
      <c r="C54" s="3" t="s">
        <v>101</v>
      </c>
      <c r="D54" t="s">
        <v>166</v>
      </c>
      <c r="E54" s="3" t="s">
        <v>154</v>
      </c>
      <c r="F54" s="9">
        <v>2025</v>
      </c>
      <c r="G54" s="9">
        <v>1104000</v>
      </c>
      <c r="H54" s="9" t="s">
        <v>6</v>
      </c>
      <c r="I54" s="9" t="s">
        <v>127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35">
      <c r="A55" s="1"/>
      <c r="B55" s="8" t="s">
        <v>129</v>
      </c>
      <c r="C55" s="3" t="s">
        <v>101</v>
      </c>
      <c r="D55" t="s">
        <v>166</v>
      </c>
      <c r="E55" s="3" t="s">
        <v>154</v>
      </c>
      <c r="F55" s="9">
        <v>2030</v>
      </c>
      <c r="G55" s="9">
        <v>988000</v>
      </c>
      <c r="H55" s="9" t="s">
        <v>6</v>
      </c>
      <c r="I55" s="9" t="s">
        <v>127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35">
      <c r="A56" s="1"/>
      <c r="B56" s="8" t="s">
        <v>129</v>
      </c>
      <c r="C56" s="3" t="s">
        <v>101</v>
      </c>
      <c r="D56" t="s">
        <v>166</v>
      </c>
      <c r="E56" s="3" t="s">
        <v>154</v>
      </c>
      <c r="F56" s="9">
        <v>2035</v>
      </c>
      <c r="G56" s="9">
        <v>878000</v>
      </c>
      <c r="H56" s="9" t="s">
        <v>6</v>
      </c>
      <c r="I56" s="9" t="s">
        <v>127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35">
      <c r="A57" s="1"/>
      <c r="B57" s="8" t="s">
        <v>129</v>
      </c>
      <c r="C57" s="3" t="s">
        <v>101</v>
      </c>
      <c r="D57" t="s">
        <v>166</v>
      </c>
      <c r="E57" s="3" t="s">
        <v>154</v>
      </c>
      <c r="F57" s="9">
        <v>2040</v>
      </c>
      <c r="G57" s="9">
        <v>814000</v>
      </c>
      <c r="H57" s="9" t="s">
        <v>6</v>
      </c>
      <c r="I57" s="9" t="s">
        <v>127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35">
      <c r="A58" s="1"/>
      <c r="B58" s="8" t="s">
        <v>129</v>
      </c>
      <c r="C58" s="3" t="s">
        <v>101</v>
      </c>
      <c r="D58" t="s">
        <v>166</v>
      </c>
      <c r="E58" s="3" t="s">
        <v>154</v>
      </c>
      <c r="F58" s="9">
        <v>2045</v>
      </c>
      <c r="G58" s="9">
        <v>785000</v>
      </c>
      <c r="H58" s="9" t="s">
        <v>6</v>
      </c>
      <c r="I58" s="9" t="s">
        <v>127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35">
      <c r="A59" s="1"/>
      <c r="B59" s="8" t="s">
        <v>129</v>
      </c>
      <c r="C59" s="3" t="s">
        <v>101</v>
      </c>
      <c r="D59" t="s">
        <v>166</v>
      </c>
      <c r="E59" s="3" t="s">
        <v>154</v>
      </c>
      <c r="F59" s="9">
        <v>2050</v>
      </c>
      <c r="G59" s="9">
        <v>764000</v>
      </c>
      <c r="H59" s="9" t="s">
        <v>6</v>
      </c>
      <c r="I59" s="9" t="s">
        <v>127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35">
      <c r="A60" s="4" t="s">
        <v>146</v>
      </c>
      <c r="B60" s="4" t="s">
        <v>11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35">
      <c r="A62" s="2" t="s">
        <v>155</v>
      </c>
      <c r="B62" s="2" t="s">
        <v>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35">
      <c r="A63" s="1"/>
      <c r="B63" s="1" t="s">
        <v>3</v>
      </c>
      <c r="C63" s="1" t="s">
        <v>124</v>
      </c>
      <c r="D63" s="1" t="s">
        <v>126</v>
      </c>
      <c r="E63" s="1" t="s">
        <v>129</v>
      </c>
      <c r="F63" s="1" t="s">
        <v>130</v>
      </c>
      <c r="G63" s="1" t="s">
        <v>132</v>
      </c>
      <c r="H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35">
      <c r="A64" s="1"/>
      <c r="B64" s="1" t="s">
        <v>124</v>
      </c>
      <c r="C64" s="3"/>
      <c r="D64" s="3" t="s">
        <v>156</v>
      </c>
      <c r="E64" s="3" t="s">
        <v>156</v>
      </c>
      <c r="F64" s="3" t="s">
        <v>156</v>
      </c>
      <c r="G64" s="3" t="s">
        <v>156</v>
      </c>
      <c r="H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35">
      <c r="A65" s="1"/>
      <c r="B65" s="1" t="s">
        <v>126</v>
      </c>
      <c r="C65" s="3"/>
      <c r="D65" s="3"/>
      <c r="F65" s="1"/>
      <c r="G65" s="3" t="s">
        <v>156</v>
      </c>
      <c r="H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35">
      <c r="A66" s="1"/>
      <c r="B66" s="1" t="s">
        <v>129</v>
      </c>
      <c r="C66" s="3"/>
      <c r="E66" s="3"/>
      <c r="F66" s="3"/>
      <c r="G66" s="3" t="s">
        <v>156</v>
      </c>
      <c r="H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35">
      <c r="A67" s="1"/>
      <c r="B67" s="1" t="s">
        <v>330</v>
      </c>
      <c r="C67" s="3"/>
      <c r="E67" s="3"/>
      <c r="F67" s="3"/>
      <c r="G67" s="3" t="s">
        <v>156</v>
      </c>
      <c r="H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35">
      <c r="A68" s="1"/>
      <c r="B68" s="1" t="s">
        <v>331</v>
      </c>
      <c r="C68" s="3"/>
      <c r="E68" s="3"/>
      <c r="F68" s="3"/>
      <c r="G68" s="3" t="s">
        <v>156</v>
      </c>
      <c r="H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35">
      <c r="A69" s="1"/>
      <c r="B69" s="1" t="s">
        <v>332</v>
      </c>
      <c r="C69" s="3"/>
      <c r="E69" s="3"/>
      <c r="F69" s="3"/>
      <c r="G69" s="3" t="s">
        <v>156</v>
      </c>
      <c r="H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35">
      <c r="A70" s="1"/>
      <c r="B70" s="1" t="s">
        <v>333</v>
      </c>
      <c r="C70" s="3"/>
      <c r="E70" s="3"/>
      <c r="F70" s="3"/>
      <c r="G70" s="3" t="s">
        <v>156</v>
      </c>
      <c r="H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35">
      <c r="A71" s="1"/>
      <c r="B71" s="1" t="s">
        <v>132</v>
      </c>
      <c r="C71" s="3" t="s">
        <v>156</v>
      </c>
      <c r="D71" s="3" t="s">
        <v>156</v>
      </c>
      <c r="E71" s="3" t="s">
        <v>156</v>
      </c>
      <c r="F71" s="3" t="s">
        <v>156</v>
      </c>
      <c r="G71" s="3" t="s">
        <v>156</v>
      </c>
      <c r="H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35">
      <c r="A72" s="4" t="s">
        <v>155</v>
      </c>
      <c r="B72" s="4" t="s">
        <v>11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00FF"/>
  </sheetPr>
  <dimension ref="A2:K43"/>
  <sheetViews>
    <sheetView workbookViewId="0">
      <selection activeCell="E23" sqref="E23"/>
    </sheetView>
  </sheetViews>
  <sheetFormatPr defaultRowHeight="12.75" x14ac:dyDescent="0.35"/>
  <cols>
    <col min="1" max="1" width="12.6640625" bestFit="1" customWidth="1"/>
    <col min="8" max="8" width="15.6640625" bestFit="1" customWidth="1"/>
    <col min="9" max="9" width="6.53125" bestFit="1" customWidth="1"/>
  </cols>
  <sheetData>
    <row r="2" spans="1:11" x14ac:dyDescent="0.35">
      <c r="A2" s="2" t="s">
        <v>0</v>
      </c>
      <c r="B2" s="2" t="s">
        <v>1</v>
      </c>
      <c r="C2" s="1"/>
    </row>
    <row r="3" spans="1:11" x14ac:dyDescent="0.35">
      <c r="A3" s="1"/>
      <c r="B3" s="1" t="s">
        <v>120</v>
      </c>
      <c r="C3" s="1" t="s">
        <v>157</v>
      </c>
    </row>
    <row r="4" spans="1:11" x14ac:dyDescent="0.35">
      <c r="A4" s="4" t="s">
        <v>0</v>
      </c>
      <c r="B4" s="4" t="s">
        <v>11</v>
      </c>
      <c r="C4" s="1"/>
    </row>
    <row r="7" spans="1:11" x14ac:dyDescent="0.35">
      <c r="A7" s="2" t="s">
        <v>158</v>
      </c>
      <c r="B7" s="2" t="s">
        <v>1</v>
      </c>
      <c r="C7" s="1"/>
    </row>
    <row r="8" spans="1:11" x14ac:dyDescent="0.35">
      <c r="A8" s="1" t="s">
        <v>3</v>
      </c>
      <c r="B8" s="1" t="s">
        <v>159</v>
      </c>
      <c r="C8" s="1" t="s">
        <v>160</v>
      </c>
      <c r="D8" s="1" t="s">
        <v>161</v>
      </c>
      <c r="E8" s="1" t="s">
        <v>162</v>
      </c>
    </row>
    <row r="9" spans="1:11" x14ac:dyDescent="0.35">
      <c r="A9" s="1"/>
      <c r="B9" s="1" t="s">
        <v>163</v>
      </c>
      <c r="C9" s="1" t="s">
        <v>6</v>
      </c>
      <c r="D9">
        <v>2040</v>
      </c>
    </row>
    <row r="10" spans="1:11" x14ac:dyDescent="0.35">
      <c r="A10" s="1" t="s">
        <v>3</v>
      </c>
      <c r="B10" s="1" t="s">
        <v>164</v>
      </c>
      <c r="C10" s="22" t="s">
        <v>165</v>
      </c>
      <c r="D10" s="1" t="s">
        <v>150</v>
      </c>
      <c r="E10" s="1" t="s">
        <v>166</v>
      </c>
      <c r="F10" s="1" t="s">
        <v>167</v>
      </c>
      <c r="G10" s="1" t="s">
        <v>168</v>
      </c>
      <c r="H10" s="1" t="s">
        <v>169</v>
      </c>
      <c r="I10" s="1" t="s">
        <v>135</v>
      </c>
      <c r="J10" s="1" t="s">
        <v>170</v>
      </c>
      <c r="K10" s="1" t="s">
        <v>171</v>
      </c>
    </row>
    <row r="11" spans="1:11" x14ac:dyDescent="0.35">
      <c r="A11" s="1"/>
      <c r="B11" s="1" t="s">
        <v>172</v>
      </c>
      <c r="C11" s="22" t="s">
        <v>88</v>
      </c>
      <c r="D11" s="1">
        <v>2020</v>
      </c>
      <c r="E11">
        <v>730</v>
      </c>
      <c r="F11" s="1" t="s">
        <v>30</v>
      </c>
      <c r="G11" t="s">
        <v>33</v>
      </c>
      <c r="H11">
        <f t="shared" ref="H11:H16" si="0">E11*4%</f>
        <v>29.2</v>
      </c>
      <c r="I11" s="1" t="s">
        <v>35</v>
      </c>
      <c r="J11">
        <v>2088</v>
      </c>
      <c r="K11" t="s">
        <v>72</v>
      </c>
    </row>
    <row r="12" spans="1:11" x14ac:dyDescent="0.35">
      <c r="A12" s="1"/>
      <c r="B12" s="1" t="s">
        <v>172</v>
      </c>
      <c r="C12" s="22" t="s">
        <v>88</v>
      </c>
      <c r="D12" s="1">
        <v>2050</v>
      </c>
      <c r="E12">
        <v>84</v>
      </c>
      <c r="F12" s="1" t="s">
        <v>30</v>
      </c>
      <c r="G12" t="s">
        <v>33</v>
      </c>
      <c r="H12">
        <f t="shared" si="0"/>
        <v>3.36</v>
      </c>
      <c r="I12" s="1" t="s">
        <v>35</v>
      </c>
      <c r="J12">
        <v>1339</v>
      </c>
      <c r="K12" t="s">
        <v>72</v>
      </c>
    </row>
    <row r="13" spans="1:11" x14ac:dyDescent="0.35">
      <c r="A13" s="1"/>
      <c r="B13" s="1" t="s">
        <v>172</v>
      </c>
      <c r="C13" s="22" t="s">
        <v>86</v>
      </c>
      <c r="D13" s="1">
        <v>2020</v>
      </c>
      <c r="E13">
        <v>730</v>
      </c>
      <c r="F13" s="1" t="s">
        <v>30</v>
      </c>
      <c r="G13" t="s">
        <v>33</v>
      </c>
      <c r="H13">
        <f t="shared" si="0"/>
        <v>29.2</v>
      </c>
      <c r="I13" s="1" t="s">
        <v>35</v>
      </c>
      <c r="J13">
        <v>2088</v>
      </c>
      <c r="K13" t="s">
        <v>72</v>
      </c>
    </row>
    <row r="14" spans="1:11" x14ac:dyDescent="0.35">
      <c r="A14" s="1"/>
      <c r="B14" s="1" t="s">
        <v>172</v>
      </c>
      <c r="C14" s="22" t="s">
        <v>86</v>
      </c>
      <c r="D14" s="1">
        <v>2050</v>
      </c>
      <c r="E14">
        <v>84</v>
      </c>
      <c r="F14" s="1" t="s">
        <v>30</v>
      </c>
      <c r="G14" t="s">
        <v>33</v>
      </c>
      <c r="H14">
        <f t="shared" si="0"/>
        <v>3.36</v>
      </c>
      <c r="I14" s="1" t="s">
        <v>35</v>
      </c>
      <c r="J14">
        <v>1339</v>
      </c>
      <c r="K14" t="s">
        <v>72</v>
      </c>
    </row>
    <row r="15" spans="1:11" x14ac:dyDescent="0.35">
      <c r="A15" s="1"/>
      <c r="B15" s="1" t="s">
        <v>172</v>
      </c>
      <c r="C15" s="22" t="s">
        <v>84</v>
      </c>
      <c r="D15" s="1">
        <v>2020</v>
      </c>
      <c r="E15">
        <v>730</v>
      </c>
      <c r="F15" s="1" t="s">
        <v>30</v>
      </c>
      <c r="G15" t="s">
        <v>33</v>
      </c>
      <c r="H15">
        <f t="shared" si="0"/>
        <v>29.2</v>
      </c>
      <c r="I15" s="1" t="s">
        <v>35</v>
      </c>
      <c r="J15">
        <v>2088</v>
      </c>
      <c r="K15" t="s">
        <v>72</v>
      </c>
    </row>
    <row r="16" spans="1:11" x14ac:dyDescent="0.35">
      <c r="A16" s="1"/>
      <c r="B16" s="1" t="s">
        <v>172</v>
      </c>
      <c r="C16" s="22" t="s">
        <v>84</v>
      </c>
      <c r="D16" s="1">
        <v>2050</v>
      </c>
      <c r="E16">
        <v>199</v>
      </c>
      <c r="F16" s="1" t="s">
        <v>30</v>
      </c>
      <c r="G16" t="s">
        <v>33</v>
      </c>
      <c r="H16">
        <f t="shared" si="0"/>
        <v>7.96</v>
      </c>
      <c r="I16" s="1" t="s">
        <v>35</v>
      </c>
      <c r="J16">
        <v>1685</v>
      </c>
      <c r="K16" t="s">
        <v>72</v>
      </c>
    </row>
    <row r="17" spans="1:7" x14ac:dyDescent="0.35">
      <c r="A17" s="1" t="s">
        <v>3</v>
      </c>
      <c r="B17" s="1" t="s">
        <v>173</v>
      </c>
      <c r="C17" s="1" t="s">
        <v>174</v>
      </c>
    </row>
    <row r="18" spans="1:7" x14ac:dyDescent="0.35">
      <c r="A18" s="1"/>
      <c r="B18" s="1" t="s">
        <v>175</v>
      </c>
      <c r="C18" s="1" t="s">
        <v>103</v>
      </c>
    </row>
    <row r="19" spans="1:7" x14ac:dyDescent="0.35">
      <c r="A19" s="1" t="s">
        <v>3</v>
      </c>
      <c r="B19" s="1" t="s">
        <v>176</v>
      </c>
      <c r="C19" s="1" t="s">
        <v>177</v>
      </c>
      <c r="D19" s="22" t="s">
        <v>165</v>
      </c>
      <c r="E19" s="1" t="s">
        <v>178</v>
      </c>
      <c r="F19" s="1" t="s">
        <v>167</v>
      </c>
      <c r="G19" s="1"/>
    </row>
    <row r="20" spans="1:7" x14ac:dyDescent="0.35">
      <c r="A20" s="1"/>
      <c r="B20" s="1" t="s">
        <v>179</v>
      </c>
      <c r="C20">
        <v>1990</v>
      </c>
      <c r="D20" s="28" t="s">
        <v>84</v>
      </c>
      <c r="E20">
        <v>7</v>
      </c>
      <c r="F20" s="1" t="s">
        <v>30</v>
      </c>
      <c r="G20" s="1"/>
    </row>
    <row r="21" spans="1:7" x14ac:dyDescent="0.35">
      <c r="A21" s="1"/>
      <c r="B21" s="1" t="s">
        <v>179</v>
      </c>
      <c r="C21">
        <v>1990</v>
      </c>
      <c r="D21" s="28" t="s">
        <v>86</v>
      </c>
      <c r="E21">
        <v>4</v>
      </c>
      <c r="F21" s="1" t="s">
        <v>30</v>
      </c>
      <c r="G21" s="1"/>
    </row>
    <row r="22" spans="1:7" x14ac:dyDescent="0.35">
      <c r="A22" s="1"/>
      <c r="B22" s="1" t="s">
        <v>179</v>
      </c>
      <c r="C22">
        <v>1990</v>
      </c>
      <c r="D22" s="28" t="s">
        <v>88</v>
      </c>
      <c r="E22">
        <v>3</v>
      </c>
      <c r="F22" s="1" t="s">
        <v>30</v>
      </c>
    </row>
    <row r="23" spans="1:7" x14ac:dyDescent="0.35">
      <c r="A23" s="4" t="s">
        <v>158</v>
      </c>
      <c r="B23" s="4" t="s">
        <v>11</v>
      </c>
      <c r="C23" s="1"/>
    </row>
    <row r="26" spans="1:7" x14ac:dyDescent="0.35">
      <c r="A26" s="2" t="s">
        <v>180</v>
      </c>
      <c r="B26" s="2" t="s">
        <v>1</v>
      </c>
      <c r="C26" s="1"/>
    </row>
    <row r="27" spans="1:7" x14ac:dyDescent="0.35">
      <c r="A27" s="1" t="s">
        <v>3</v>
      </c>
      <c r="B27" s="1" t="s">
        <v>159</v>
      </c>
      <c r="C27" s="1" t="s">
        <v>160</v>
      </c>
      <c r="D27" s="1" t="s">
        <v>161</v>
      </c>
      <c r="E27" s="1" t="s">
        <v>162</v>
      </c>
    </row>
    <row r="28" spans="1:7" x14ac:dyDescent="0.35">
      <c r="A28" s="1"/>
      <c r="B28" s="1" t="s">
        <v>163</v>
      </c>
      <c r="C28" s="1" t="s">
        <v>6</v>
      </c>
      <c r="D28">
        <v>2040</v>
      </c>
    </row>
    <row r="29" spans="1:7" x14ac:dyDescent="0.35">
      <c r="A29" s="1" t="s">
        <v>3</v>
      </c>
      <c r="B29" s="1" t="s">
        <v>180</v>
      </c>
      <c r="C29" s="1" t="s">
        <v>167</v>
      </c>
      <c r="D29" s="22" t="s">
        <v>165</v>
      </c>
      <c r="E29" s="1" t="s">
        <v>168</v>
      </c>
      <c r="F29" s="1" t="s">
        <v>150</v>
      </c>
      <c r="G29" s="1" t="s">
        <v>181</v>
      </c>
    </row>
    <row r="30" spans="1:7" x14ac:dyDescent="0.35">
      <c r="A30" s="1"/>
      <c r="B30" s="1" t="s">
        <v>180</v>
      </c>
      <c r="C30" s="1" t="s">
        <v>30</v>
      </c>
      <c r="D30" s="28" t="s">
        <v>88</v>
      </c>
      <c r="E30" t="s">
        <v>33</v>
      </c>
      <c r="F30">
        <v>2025</v>
      </c>
      <c r="G30" s="24">
        <v>22.5</v>
      </c>
    </row>
    <row r="31" spans="1:7" x14ac:dyDescent="0.35">
      <c r="A31" s="1"/>
      <c r="B31" s="1" t="s">
        <v>180</v>
      </c>
      <c r="C31" s="1" t="s">
        <v>30</v>
      </c>
      <c r="D31" s="28" t="s">
        <v>88</v>
      </c>
      <c r="E31" t="s">
        <v>33</v>
      </c>
      <c r="F31">
        <v>2035</v>
      </c>
      <c r="G31" s="24">
        <v>163.19999999999999</v>
      </c>
    </row>
    <row r="32" spans="1:7" x14ac:dyDescent="0.35">
      <c r="A32" s="1"/>
      <c r="B32" s="1" t="s">
        <v>180</v>
      </c>
      <c r="C32" s="1" t="s">
        <v>30</v>
      </c>
      <c r="D32" s="28" t="s">
        <v>88</v>
      </c>
      <c r="E32" t="s">
        <v>33</v>
      </c>
      <c r="F32">
        <v>2050</v>
      </c>
      <c r="G32" s="24">
        <v>281.3</v>
      </c>
    </row>
    <row r="33" spans="1:7" x14ac:dyDescent="0.35">
      <c r="A33" s="1"/>
      <c r="B33" s="1" t="s">
        <v>180</v>
      </c>
      <c r="C33" s="1" t="s">
        <v>30</v>
      </c>
      <c r="D33" s="28" t="s">
        <v>86</v>
      </c>
      <c r="E33" t="s">
        <v>33</v>
      </c>
      <c r="F33">
        <v>2025</v>
      </c>
      <c r="G33" s="24">
        <v>22.5</v>
      </c>
    </row>
    <row r="34" spans="1:7" x14ac:dyDescent="0.35">
      <c r="A34" s="1"/>
      <c r="B34" s="1" t="s">
        <v>180</v>
      </c>
      <c r="C34" s="1" t="s">
        <v>30</v>
      </c>
      <c r="D34" s="28" t="s">
        <v>86</v>
      </c>
      <c r="E34" t="s">
        <v>33</v>
      </c>
      <c r="F34">
        <v>2035</v>
      </c>
      <c r="G34" s="24">
        <v>123.8</v>
      </c>
    </row>
    <row r="35" spans="1:7" x14ac:dyDescent="0.35">
      <c r="A35" s="1"/>
      <c r="B35" s="1" t="s">
        <v>180</v>
      </c>
      <c r="C35" s="1" t="s">
        <v>30</v>
      </c>
      <c r="D35" s="28" t="s">
        <v>86</v>
      </c>
      <c r="E35" t="s">
        <v>33</v>
      </c>
      <c r="F35">
        <v>2050</v>
      </c>
      <c r="G35" s="24">
        <v>157.5</v>
      </c>
    </row>
    <row r="36" spans="1:7" x14ac:dyDescent="0.35">
      <c r="A36" s="1"/>
      <c r="B36" s="1" t="s">
        <v>180</v>
      </c>
      <c r="C36" s="1" t="s">
        <v>30</v>
      </c>
      <c r="D36" s="28" t="s">
        <v>84</v>
      </c>
      <c r="E36" t="s">
        <v>33</v>
      </c>
      <c r="F36">
        <v>2025</v>
      </c>
      <c r="G36" s="24">
        <v>22.5</v>
      </c>
    </row>
    <row r="37" spans="1:7" x14ac:dyDescent="0.35">
      <c r="A37" s="1"/>
      <c r="B37" s="1" t="s">
        <v>180</v>
      </c>
      <c r="C37" s="1" t="s">
        <v>30</v>
      </c>
      <c r="D37" s="28" t="s">
        <v>84</v>
      </c>
      <c r="E37" t="s">
        <v>33</v>
      </c>
      <c r="F37">
        <v>2035</v>
      </c>
      <c r="G37" s="24">
        <v>33.799999999999997</v>
      </c>
    </row>
    <row r="38" spans="1:7" x14ac:dyDescent="0.35">
      <c r="A38" s="1"/>
      <c r="B38" s="1" t="s">
        <v>180</v>
      </c>
      <c r="C38" s="1" t="s">
        <v>30</v>
      </c>
      <c r="D38" s="28" t="s">
        <v>84</v>
      </c>
      <c r="E38" t="s">
        <v>33</v>
      </c>
      <c r="F38">
        <v>2050</v>
      </c>
      <c r="G38" s="24">
        <v>78.8</v>
      </c>
    </row>
    <row r="39" spans="1:7" x14ac:dyDescent="0.35">
      <c r="A39" s="1" t="s">
        <v>3</v>
      </c>
      <c r="B39" s="1" t="s">
        <v>176</v>
      </c>
      <c r="C39" s="1" t="s">
        <v>177</v>
      </c>
      <c r="D39" s="22" t="s">
        <v>165</v>
      </c>
      <c r="E39" s="1" t="s">
        <v>178</v>
      </c>
      <c r="F39" s="1" t="s">
        <v>167</v>
      </c>
      <c r="G39" s="1"/>
    </row>
    <row r="40" spans="1:7" x14ac:dyDescent="0.35">
      <c r="A40" s="1"/>
      <c r="B40" s="1" t="s">
        <v>179</v>
      </c>
      <c r="C40">
        <v>1990</v>
      </c>
      <c r="D40" s="28" t="s">
        <v>84</v>
      </c>
      <c r="E40">
        <v>7</v>
      </c>
      <c r="F40" s="1" t="s">
        <v>30</v>
      </c>
      <c r="G40" s="1"/>
    </row>
    <row r="41" spans="1:7" x14ac:dyDescent="0.35">
      <c r="A41" s="1"/>
      <c r="B41" s="1" t="s">
        <v>179</v>
      </c>
      <c r="C41">
        <v>1990</v>
      </c>
      <c r="D41" s="28" t="s">
        <v>86</v>
      </c>
      <c r="E41">
        <v>4</v>
      </c>
      <c r="F41" s="1" t="s">
        <v>30</v>
      </c>
      <c r="G41" s="1"/>
    </row>
    <row r="42" spans="1:7" x14ac:dyDescent="0.35">
      <c r="A42" s="1"/>
      <c r="B42" s="1" t="s">
        <v>179</v>
      </c>
      <c r="C42">
        <v>1990</v>
      </c>
      <c r="D42" s="28" t="s">
        <v>88</v>
      </c>
      <c r="E42">
        <v>2.5</v>
      </c>
      <c r="F42" s="1" t="s">
        <v>30</v>
      </c>
    </row>
    <row r="43" spans="1:7" x14ac:dyDescent="0.35">
      <c r="A43" s="4" t="s">
        <v>180</v>
      </c>
      <c r="B43" s="4" t="s">
        <v>11</v>
      </c>
      <c r="C4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  <outlinePr summaryBelow="0" summaryRight="0"/>
  </sheetPr>
  <dimension ref="A1:U1052"/>
  <sheetViews>
    <sheetView showGridLines="0" workbookViewId="0">
      <selection activeCell="E34" sqref="E34"/>
    </sheetView>
  </sheetViews>
  <sheetFormatPr defaultColWidth="12.59765625" defaultRowHeight="15.75" customHeight="1" x14ac:dyDescent="0.35"/>
  <cols>
    <col min="2" max="2" width="14.86328125" customWidth="1"/>
    <col min="3" max="3" width="17.265625" customWidth="1"/>
    <col min="4" max="4" width="18.46484375" customWidth="1"/>
    <col min="5" max="21" width="15.1328125" customWidth="1"/>
  </cols>
  <sheetData>
    <row r="1" spans="1:21" ht="12.75" customHeight="1" x14ac:dyDescent="0.35">
      <c r="A1" s="1"/>
      <c r="B1" s="1"/>
      <c r="C1" s="1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2.75" customHeight="1" x14ac:dyDescent="0.35">
      <c r="A2" s="2" t="s">
        <v>0</v>
      </c>
      <c r="B2" s="2" t="s">
        <v>1</v>
      </c>
      <c r="C2" s="1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ht="12.75" customHeight="1" x14ac:dyDescent="0.35">
      <c r="A3" s="1"/>
      <c r="B3" s="1" t="s">
        <v>120</v>
      </c>
      <c r="C3" s="1" t="s">
        <v>23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ht="12.75" customHeight="1" x14ac:dyDescent="0.35">
      <c r="A4" s="1"/>
      <c r="B4" s="1" t="s">
        <v>182</v>
      </c>
      <c r="C4" s="1" t="s">
        <v>183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ht="12.75" customHeight="1" x14ac:dyDescent="0.35">
      <c r="A5" s="1"/>
      <c r="B5" s="1" t="s">
        <v>184</v>
      </c>
      <c r="C5" s="1" t="s">
        <v>185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ht="12.75" customHeight="1" x14ac:dyDescent="0.35">
      <c r="A6" s="1"/>
      <c r="B6" s="1" t="s">
        <v>186</v>
      </c>
      <c r="C6" s="1" t="s">
        <v>23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ht="12.75" customHeight="1" x14ac:dyDescent="0.35">
      <c r="A7" s="1" t="s">
        <v>3</v>
      </c>
      <c r="B7" s="1" t="s">
        <v>187</v>
      </c>
      <c r="C7" s="1" t="s">
        <v>188</v>
      </c>
      <c r="D7" s="9"/>
      <c r="E7" s="9" t="s">
        <v>189</v>
      </c>
      <c r="F7" s="1" t="s">
        <v>68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ht="12.75" customHeight="1" x14ac:dyDescent="0.35">
      <c r="A8" s="1"/>
      <c r="B8" s="1" t="s">
        <v>187</v>
      </c>
      <c r="C8" s="1" t="s">
        <v>190</v>
      </c>
      <c r="D8" s="9" t="s">
        <v>44</v>
      </c>
      <c r="E8" s="9" t="s">
        <v>191</v>
      </c>
      <c r="F8" s="9">
        <f>1/200000</f>
        <v>5.0000000000000004E-6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ht="12.75" customHeight="1" x14ac:dyDescent="0.35">
      <c r="A9" s="1" t="s">
        <v>3</v>
      </c>
      <c r="B9" s="1" t="s">
        <v>18</v>
      </c>
      <c r="C9" s="1" t="s">
        <v>192</v>
      </c>
      <c r="D9" s="9" t="s">
        <v>193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ht="12.75" customHeight="1" x14ac:dyDescent="0.35">
      <c r="A10" s="1"/>
      <c r="B10" s="1" t="s">
        <v>194</v>
      </c>
      <c r="C10" s="1">
        <v>365</v>
      </c>
      <c r="D10" s="9">
        <v>24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ht="12.75" customHeight="1" x14ac:dyDescent="0.35">
      <c r="A11" s="1" t="s">
        <v>3</v>
      </c>
      <c r="B11" s="1" t="s">
        <v>195</v>
      </c>
      <c r="C11" s="1" t="s">
        <v>196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ht="12.75" customHeight="1" x14ac:dyDescent="0.35">
      <c r="A12" s="1"/>
      <c r="B12" s="1" t="s">
        <v>197</v>
      </c>
      <c r="C12" s="7" t="s">
        <v>198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ht="12.75" customHeight="1" x14ac:dyDescent="0.35">
      <c r="A13" s="4" t="s">
        <v>0</v>
      </c>
      <c r="B13" s="4" t="s">
        <v>11</v>
      </c>
      <c r="C13" s="1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ht="12.75" customHeight="1" x14ac:dyDescent="0.35">
      <c r="A14" s="1"/>
      <c r="B14" s="1"/>
      <c r="C14" s="1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ht="12.75" customHeight="1" x14ac:dyDescent="0.35">
      <c r="A15" s="2" t="s">
        <v>199</v>
      </c>
      <c r="B15" s="27" t="s">
        <v>1</v>
      </c>
      <c r="C15" s="25"/>
      <c r="D15" s="25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12.75" customHeight="1" x14ac:dyDescent="0.35">
      <c r="A16" s="1" t="s">
        <v>3</v>
      </c>
      <c r="B16" s="25" t="s">
        <v>200</v>
      </c>
      <c r="C16" s="25" t="s">
        <v>201</v>
      </c>
      <c r="D16" s="25" t="s">
        <v>19</v>
      </c>
      <c r="E16" s="21" t="s">
        <v>150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12.75" customHeight="1" x14ac:dyDescent="0.35">
      <c r="A17" s="1"/>
      <c r="B17" s="25" t="s">
        <v>30</v>
      </c>
      <c r="C17" s="25" t="s">
        <v>202</v>
      </c>
      <c r="D17" s="26" t="s">
        <v>33</v>
      </c>
      <c r="E17" s="9">
        <v>1990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12.75" customHeight="1" x14ac:dyDescent="0.35">
      <c r="A18" s="4" t="s">
        <v>199</v>
      </c>
      <c r="B18" s="4" t="s">
        <v>11</v>
      </c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ht="12.75" customHeight="1" x14ac:dyDescent="0.35">
      <c r="A19" s="1"/>
      <c r="B19" s="1"/>
      <c r="C19" s="1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12.75" customHeight="1" x14ac:dyDescent="0.35">
      <c r="A20" s="2" t="s">
        <v>203</v>
      </c>
      <c r="B20" s="2" t="s">
        <v>1</v>
      </c>
      <c r="C20" s="1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12.75" customHeight="1" x14ac:dyDescent="0.35">
      <c r="A21" s="1" t="s">
        <v>3</v>
      </c>
      <c r="B21" s="1" t="s">
        <v>204</v>
      </c>
      <c r="C21" s="1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12.75" customHeight="1" x14ac:dyDescent="0.35">
      <c r="A22" s="1"/>
      <c r="B22" s="1">
        <f>COUNTA(B25:B34)</f>
        <v>10</v>
      </c>
      <c r="C22" s="1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12.75" customHeight="1" x14ac:dyDescent="0.35">
      <c r="A23" s="1" t="s">
        <v>3</v>
      </c>
      <c r="B23" s="1" t="s">
        <v>205</v>
      </c>
      <c r="C23" s="1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12.75" customHeight="1" x14ac:dyDescent="0.35">
      <c r="A24" s="1" t="s">
        <v>3</v>
      </c>
      <c r="B24" s="1" t="s">
        <v>92</v>
      </c>
      <c r="C24" s="1" t="s">
        <v>200</v>
      </c>
      <c r="D24" s="9" t="s">
        <v>206</v>
      </c>
      <c r="E24" s="9" t="s">
        <v>19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12.75" customHeight="1" x14ac:dyDescent="0.35">
      <c r="A25" s="1"/>
      <c r="B25" s="1" t="s">
        <v>29</v>
      </c>
      <c r="C25" s="1" t="s">
        <v>30</v>
      </c>
      <c r="D25" s="9">
        <v>31.7</v>
      </c>
      <c r="E25" s="9" t="s">
        <v>71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12.75" customHeight="1" x14ac:dyDescent="0.35">
      <c r="A26" s="1"/>
      <c r="B26" s="1" t="s">
        <v>34</v>
      </c>
      <c r="C26" s="1" t="s">
        <v>35</v>
      </c>
      <c r="D26" s="9">
        <f>5599*24/240000</f>
        <v>0.55989999999999995</v>
      </c>
      <c r="E26" s="9" t="s">
        <v>72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12.75" customHeight="1" x14ac:dyDescent="0.35">
      <c r="A27" s="1"/>
      <c r="B27" s="1" t="s">
        <v>39</v>
      </c>
      <c r="C27" s="1" t="s">
        <v>40</v>
      </c>
      <c r="D27" s="9">
        <v>869</v>
      </c>
      <c r="E27" s="9" t="s">
        <v>41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ht="12.75" customHeight="1" x14ac:dyDescent="0.35">
      <c r="A28" s="1"/>
      <c r="B28" s="1" t="s">
        <v>42</v>
      </c>
      <c r="C28" s="1" t="s">
        <v>43</v>
      </c>
      <c r="D28" s="9">
        <v>-6.9000000000000006E-2</v>
      </c>
      <c r="E28" s="9" t="s">
        <v>44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ht="12.75" customHeight="1" x14ac:dyDescent="0.35">
      <c r="A29" s="1"/>
      <c r="B29" s="1" t="s">
        <v>45</v>
      </c>
      <c r="C29" s="1" t="s">
        <v>46</v>
      </c>
      <c r="D29" s="9">
        <v>-0.38700000000000001</v>
      </c>
      <c r="E29" s="9" t="s">
        <v>44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ht="12.75" customHeight="1" x14ac:dyDescent="0.35">
      <c r="A30" s="1"/>
      <c r="B30" s="1" t="s">
        <v>47</v>
      </c>
      <c r="C30" s="1" t="s">
        <v>48</v>
      </c>
      <c r="D30" s="9">
        <v>-0.14899999999999999</v>
      </c>
      <c r="E30" s="9" t="s">
        <v>44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ht="12.75" customHeight="1" x14ac:dyDescent="0.35">
      <c r="A31" s="1"/>
      <c r="B31" s="1" t="s">
        <v>49</v>
      </c>
      <c r="C31" s="1" t="s">
        <v>50</v>
      </c>
      <c r="D31" s="9">
        <v>-0.39600000000000002</v>
      </c>
      <c r="E31" s="9" t="s">
        <v>44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ht="12.75" customHeight="1" x14ac:dyDescent="0.35">
      <c r="A32" s="1"/>
      <c r="B32" s="1" t="s">
        <v>62</v>
      </c>
      <c r="C32" s="1" t="s">
        <v>55</v>
      </c>
      <c r="D32" s="9">
        <v>0</v>
      </c>
      <c r="E32" s="9" t="s">
        <v>38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ht="12.75" customHeight="1" x14ac:dyDescent="0.35">
      <c r="A33" s="1"/>
      <c r="B33" s="1" t="s">
        <v>62</v>
      </c>
      <c r="C33" s="1" t="s">
        <v>63</v>
      </c>
      <c r="D33" s="9">
        <v>0</v>
      </c>
      <c r="E33" s="9" t="s">
        <v>38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ht="12.75" customHeight="1" x14ac:dyDescent="0.35">
      <c r="A34" s="1"/>
      <c r="B34" s="1" t="s">
        <v>64</v>
      </c>
      <c r="C34" s="1" t="s">
        <v>65</v>
      </c>
      <c r="D34" s="9">
        <v>0.56000000000000005</v>
      </c>
      <c r="E34" s="9" t="s">
        <v>53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ht="12.75" customHeight="1" x14ac:dyDescent="0.35">
      <c r="A35" s="4" t="s">
        <v>203</v>
      </c>
      <c r="B35" s="4" t="s">
        <v>11</v>
      </c>
      <c r="C35" s="1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ht="12.75" customHeight="1" x14ac:dyDescent="0.35">
      <c r="A36" s="1"/>
      <c r="B36" s="1"/>
      <c r="C36" s="1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ht="12.75" customHeight="1" x14ac:dyDescent="0.35">
      <c r="A37" s="2" t="s">
        <v>207</v>
      </c>
      <c r="B37" s="2" t="s">
        <v>1</v>
      </c>
      <c r="C37" s="1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ht="12.75" customHeight="1" x14ac:dyDescent="0.35">
      <c r="A38" s="1" t="s">
        <v>3</v>
      </c>
      <c r="B38" s="1" t="s">
        <v>208</v>
      </c>
      <c r="C38" s="1" t="s">
        <v>209</v>
      </c>
      <c r="D38" s="1" t="s">
        <v>14</v>
      </c>
      <c r="E38" s="9" t="s">
        <v>210</v>
      </c>
      <c r="F38" s="9" t="s">
        <v>135</v>
      </c>
      <c r="G38" s="9" t="s">
        <v>211</v>
      </c>
      <c r="H38" s="9" t="s">
        <v>212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ht="12.75" customHeight="1" x14ac:dyDescent="0.35">
      <c r="A39" s="1"/>
      <c r="B39" s="1" t="s">
        <v>213</v>
      </c>
      <c r="C39" s="1" t="s">
        <v>214</v>
      </c>
      <c r="D39" s="1" t="s">
        <v>215</v>
      </c>
      <c r="E39" s="8" t="s">
        <v>29</v>
      </c>
      <c r="F39" s="8" t="s">
        <v>30</v>
      </c>
      <c r="G39" s="10">
        <v>0.1032</v>
      </c>
      <c r="H39" s="8" t="s">
        <v>34</v>
      </c>
      <c r="I39" s="8" t="s">
        <v>35</v>
      </c>
      <c r="J39" s="10">
        <v>4.1700000000000001E-2</v>
      </c>
      <c r="K39" s="8" t="s">
        <v>39</v>
      </c>
      <c r="L39" s="8" t="s">
        <v>40</v>
      </c>
      <c r="M39" s="10">
        <v>3.15E-2</v>
      </c>
      <c r="N39" s="8" t="s">
        <v>64</v>
      </c>
      <c r="O39" s="8" t="s">
        <v>65</v>
      </c>
      <c r="P39" s="10">
        <v>0.1071</v>
      </c>
      <c r="Q39" s="9"/>
      <c r="R39" s="9"/>
      <c r="S39" s="9"/>
      <c r="T39" s="9"/>
      <c r="U39" s="9"/>
    </row>
    <row r="40" spans="1:21" ht="12.75" customHeight="1" x14ac:dyDescent="0.35">
      <c r="A40" s="1"/>
      <c r="B40" s="1" t="s">
        <v>213</v>
      </c>
      <c r="C40" s="1" t="s">
        <v>216</v>
      </c>
      <c r="D40" s="1" t="s">
        <v>217</v>
      </c>
      <c r="E40" s="8" t="s">
        <v>29</v>
      </c>
      <c r="F40" s="8" t="s">
        <v>30</v>
      </c>
      <c r="G40" s="10">
        <v>5.7700000000000001E-2</v>
      </c>
      <c r="H40" s="8" t="s">
        <v>34</v>
      </c>
      <c r="I40" s="8" t="s">
        <v>35</v>
      </c>
      <c r="J40" s="10">
        <v>1.78E-2</v>
      </c>
      <c r="K40" s="8" t="s">
        <v>39</v>
      </c>
      <c r="L40" s="8" t="s">
        <v>218</v>
      </c>
      <c r="M40" s="10">
        <v>0.20230000000000001</v>
      </c>
      <c r="N40" s="8" t="s">
        <v>64</v>
      </c>
      <c r="O40" s="8" t="s">
        <v>65</v>
      </c>
      <c r="P40" s="10">
        <v>5.3600000000000002E-2</v>
      </c>
      <c r="Q40" s="9"/>
      <c r="R40" s="9"/>
      <c r="S40" s="9"/>
      <c r="T40" s="9"/>
      <c r="U40" s="9"/>
    </row>
    <row r="41" spans="1:21" ht="12.75" customHeight="1" x14ac:dyDescent="0.35">
      <c r="A41" s="1"/>
      <c r="B41" s="1" t="s">
        <v>213</v>
      </c>
      <c r="C41" s="1" t="s">
        <v>219</v>
      </c>
      <c r="D41" s="1" t="s">
        <v>220</v>
      </c>
      <c r="E41" s="8" t="s">
        <v>29</v>
      </c>
      <c r="F41" s="8" t="s">
        <v>30</v>
      </c>
      <c r="G41" s="10">
        <v>3.6900000000000002E-2</v>
      </c>
      <c r="H41" s="8" t="s">
        <v>34</v>
      </c>
      <c r="I41" s="8" t="s">
        <v>35</v>
      </c>
      <c r="J41" s="10">
        <v>3.1800000000000002E-2</v>
      </c>
      <c r="K41" s="8" t="s">
        <v>39</v>
      </c>
      <c r="L41" s="8" t="s">
        <v>221</v>
      </c>
      <c r="M41" s="10">
        <v>2.8000000000000001E-2</v>
      </c>
      <c r="N41" s="8" t="s">
        <v>64</v>
      </c>
      <c r="O41" s="8" t="s">
        <v>65</v>
      </c>
      <c r="P41" s="10">
        <v>3.5700000000000003E-2</v>
      </c>
      <c r="Q41" s="9"/>
      <c r="R41" s="9"/>
      <c r="S41" s="9"/>
      <c r="T41" s="9"/>
      <c r="U41" s="9"/>
    </row>
    <row r="42" spans="1:21" ht="12.75" customHeight="1" x14ac:dyDescent="0.35">
      <c r="A42" s="1"/>
      <c r="B42" s="1" t="s">
        <v>213</v>
      </c>
      <c r="C42" s="1" t="s">
        <v>222</v>
      </c>
      <c r="D42" s="1" t="s">
        <v>223</v>
      </c>
      <c r="E42" s="8" t="s">
        <v>29</v>
      </c>
      <c r="F42" s="8" t="s">
        <v>30</v>
      </c>
      <c r="G42" s="10">
        <v>7.6399999999999996E-2</v>
      </c>
      <c r="H42" s="8" t="s">
        <v>34</v>
      </c>
      <c r="I42" s="8" t="s">
        <v>35</v>
      </c>
      <c r="J42" s="10">
        <v>7.1499999999999994E-2</v>
      </c>
      <c r="K42" s="8" t="s">
        <v>39</v>
      </c>
      <c r="L42" s="8" t="s">
        <v>224</v>
      </c>
      <c r="M42" s="10">
        <v>2.8000000000000001E-2</v>
      </c>
      <c r="N42" s="8" t="s">
        <v>64</v>
      </c>
      <c r="O42" s="8" t="s">
        <v>65</v>
      </c>
      <c r="P42" s="10">
        <v>7.1400000000000005E-2</v>
      </c>
      <c r="Q42" s="9"/>
      <c r="R42" s="9"/>
      <c r="S42" s="9"/>
      <c r="T42" s="9"/>
      <c r="U42" s="9"/>
    </row>
    <row r="43" spans="1:21" ht="12.75" customHeight="1" x14ac:dyDescent="0.35">
      <c r="A43" s="1"/>
      <c r="B43" s="1" t="s">
        <v>213</v>
      </c>
      <c r="C43" s="1" t="s">
        <v>225</v>
      </c>
      <c r="D43" s="1" t="s">
        <v>226</v>
      </c>
      <c r="E43" s="8" t="s">
        <v>29</v>
      </c>
      <c r="F43" s="8" t="s">
        <v>30</v>
      </c>
      <c r="G43" s="10">
        <v>4.07E-2</v>
      </c>
      <c r="H43" s="8" t="s">
        <v>34</v>
      </c>
      <c r="I43" s="8" t="s">
        <v>35</v>
      </c>
      <c r="J43" s="10">
        <v>3.3799999999999997E-2</v>
      </c>
      <c r="K43" s="8" t="s">
        <v>39</v>
      </c>
      <c r="L43" s="8" t="s">
        <v>227</v>
      </c>
      <c r="M43" s="10">
        <v>6.4600000000000005E-2</v>
      </c>
      <c r="N43" s="8" t="s">
        <v>64</v>
      </c>
      <c r="O43" s="8" t="s">
        <v>65</v>
      </c>
      <c r="P43" s="10">
        <v>3.5700000000000003E-2</v>
      </c>
      <c r="Q43" s="9"/>
      <c r="R43" s="9"/>
      <c r="S43" s="9"/>
      <c r="T43" s="9"/>
      <c r="U43" s="9"/>
    </row>
    <row r="44" spans="1:21" ht="12.75" customHeight="1" x14ac:dyDescent="0.35">
      <c r="A44" s="1"/>
      <c r="B44" s="1" t="s">
        <v>213</v>
      </c>
      <c r="C44" s="1" t="s">
        <v>228</v>
      </c>
      <c r="D44" s="1" t="s">
        <v>229</v>
      </c>
      <c r="E44" s="8" t="s">
        <v>29</v>
      </c>
      <c r="F44" s="8" t="s">
        <v>30</v>
      </c>
      <c r="G44" s="10">
        <v>6.4100000000000004E-2</v>
      </c>
      <c r="H44" s="8" t="s">
        <v>34</v>
      </c>
      <c r="I44" s="8" t="s">
        <v>35</v>
      </c>
      <c r="J44" s="10">
        <v>7.5800000000000006E-2</v>
      </c>
      <c r="K44" s="8" t="s">
        <v>39</v>
      </c>
      <c r="L44" s="8" t="s">
        <v>230</v>
      </c>
      <c r="M44" s="10">
        <v>7.7000000000000002E-3</v>
      </c>
      <c r="N44" s="8" t="s">
        <v>64</v>
      </c>
      <c r="O44" s="8" t="s">
        <v>65</v>
      </c>
      <c r="P44" s="10">
        <v>7.1400000000000005E-2</v>
      </c>
      <c r="Q44" s="9"/>
      <c r="R44" s="9"/>
      <c r="S44" s="9"/>
      <c r="T44" s="9"/>
      <c r="U44" s="9"/>
    </row>
    <row r="45" spans="1:21" ht="12.75" customHeight="1" x14ac:dyDescent="0.35">
      <c r="A45" s="1"/>
      <c r="B45" s="1" t="s">
        <v>213</v>
      </c>
      <c r="C45" s="1" t="s">
        <v>231</v>
      </c>
      <c r="D45" s="1" t="s">
        <v>232</v>
      </c>
      <c r="E45" s="8" t="s">
        <v>29</v>
      </c>
      <c r="F45" s="8" t="s">
        <v>30</v>
      </c>
      <c r="G45" s="10">
        <v>3.09E-2</v>
      </c>
      <c r="H45" s="8" t="s">
        <v>34</v>
      </c>
      <c r="I45" s="8" t="s">
        <v>35</v>
      </c>
      <c r="J45" s="10">
        <v>8.9999999999999993E-3</v>
      </c>
      <c r="K45" s="8" t="s">
        <v>39</v>
      </c>
      <c r="L45" s="8" t="s">
        <v>233</v>
      </c>
      <c r="M45" s="10">
        <v>3.3E-3</v>
      </c>
      <c r="N45" s="8" t="s">
        <v>64</v>
      </c>
      <c r="O45" s="8" t="s">
        <v>65</v>
      </c>
      <c r="P45" s="10">
        <v>3.5700000000000003E-2</v>
      </c>
      <c r="Q45" s="9"/>
      <c r="R45" s="9"/>
      <c r="S45" s="9"/>
      <c r="T45" s="9"/>
      <c r="U45" s="9"/>
    </row>
    <row r="46" spans="1:21" ht="12.75" customHeight="1" x14ac:dyDescent="0.35">
      <c r="A46" s="1"/>
      <c r="B46" s="1" t="s">
        <v>213</v>
      </c>
      <c r="C46" s="1" t="s">
        <v>234</v>
      </c>
      <c r="D46" s="1" t="s">
        <v>235</v>
      </c>
      <c r="E46" s="8" t="s">
        <v>29</v>
      </c>
      <c r="F46" s="8" t="s">
        <v>30</v>
      </c>
      <c r="G46" s="10">
        <v>0.56710000000000005</v>
      </c>
      <c r="H46" s="8" t="s">
        <v>34</v>
      </c>
      <c r="I46" s="8" t="s">
        <v>35</v>
      </c>
      <c r="J46" s="10">
        <v>0.4123</v>
      </c>
      <c r="K46" s="8" t="s">
        <v>39</v>
      </c>
      <c r="L46" s="8" t="s">
        <v>236</v>
      </c>
      <c r="M46" s="10">
        <v>0.26069999999999999</v>
      </c>
      <c r="N46" s="8" t="s">
        <v>64</v>
      </c>
      <c r="O46" s="8" t="s">
        <v>65</v>
      </c>
      <c r="P46" s="10">
        <v>0.57140000000000002</v>
      </c>
      <c r="Q46" s="9"/>
      <c r="R46" s="9"/>
      <c r="S46" s="9"/>
      <c r="T46" s="9"/>
      <c r="U46" s="9"/>
    </row>
    <row r="47" spans="1:21" ht="12.75" customHeight="1" x14ac:dyDescent="0.35">
      <c r="A47" s="1"/>
      <c r="B47" s="1" t="s">
        <v>213</v>
      </c>
      <c r="C47" s="1" t="s">
        <v>237</v>
      </c>
      <c r="D47" s="1" t="s">
        <v>238</v>
      </c>
      <c r="E47" s="8" t="s">
        <v>29</v>
      </c>
      <c r="F47" s="8" t="s">
        <v>30</v>
      </c>
      <c r="G47" s="10">
        <f>1-SUM(G39:G46)</f>
        <v>2.2999999999999909E-2</v>
      </c>
      <c r="H47" s="8" t="s">
        <v>34</v>
      </c>
      <c r="I47" s="8" t="s">
        <v>35</v>
      </c>
      <c r="J47" s="10">
        <f>1-SUM(J39:J46)</f>
        <v>0.30630000000000002</v>
      </c>
      <c r="K47" s="8" t="s">
        <v>39</v>
      </c>
      <c r="L47" s="8" t="s">
        <v>239</v>
      </c>
      <c r="M47" s="10">
        <f>1-SUM(M39:M46)</f>
        <v>0.3738999999999999</v>
      </c>
      <c r="N47" s="8" t="s">
        <v>64</v>
      </c>
      <c r="O47" s="8" t="s">
        <v>65</v>
      </c>
      <c r="P47" s="10">
        <f>1-SUM(P39:P46)</f>
        <v>1.7999999999999905E-2</v>
      </c>
      <c r="Q47" s="9"/>
      <c r="R47" s="9"/>
      <c r="S47" s="9"/>
      <c r="T47" s="9"/>
      <c r="U47" s="9"/>
    </row>
    <row r="48" spans="1:21" ht="12.75" customHeight="1" x14ac:dyDescent="0.35">
      <c r="A48" s="1" t="s">
        <v>3</v>
      </c>
      <c r="B48" s="1" t="s">
        <v>240</v>
      </c>
      <c r="C48" s="1" t="s">
        <v>14</v>
      </c>
      <c r="D48" s="9" t="s">
        <v>241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ht="12.75" customHeight="1" x14ac:dyDescent="0.35">
      <c r="A49" s="1"/>
      <c r="B49" s="1" t="s">
        <v>242</v>
      </c>
      <c r="C49" s="1" t="s">
        <v>215</v>
      </c>
      <c r="D49" s="8">
        <v>2</v>
      </c>
      <c r="E49" s="8"/>
      <c r="F49" s="10"/>
      <c r="G49" s="8"/>
      <c r="H49" s="8"/>
      <c r="I49" s="10"/>
      <c r="J49" s="8"/>
      <c r="K49" s="8"/>
      <c r="L49" s="10"/>
      <c r="M49" s="8"/>
      <c r="N49" s="8"/>
      <c r="O49" s="10"/>
      <c r="P49" s="9"/>
      <c r="Q49" s="9"/>
      <c r="R49" s="9"/>
      <c r="S49" s="9"/>
      <c r="T49" s="9"/>
      <c r="U49" s="9"/>
    </row>
    <row r="50" spans="1:21" ht="12.75" customHeight="1" x14ac:dyDescent="0.35">
      <c r="A50" s="1"/>
      <c r="B50" s="1" t="s">
        <v>242</v>
      </c>
      <c r="C50" s="1" t="s">
        <v>217</v>
      </c>
      <c r="D50" s="8">
        <v>2</v>
      </c>
      <c r="E50" s="8"/>
      <c r="F50" s="10"/>
      <c r="G50" s="8"/>
      <c r="H50" s="8"/>
      <c r="I50" s="10"/>
      <c r="J50" s="8"/>
      <c r="K50" s="8"/>
      <c r="L50" s="10"/>
      <c r="M50" s="8"/>
      <c r="N50" s="8"/>
      <c r="O50" s="10"/>
      <c r="P50" s="9"/>
      <c r="Q50" s="9"/>
      <c r="R50" s="9"/>
      <c r="S50" s="9"/>
      <c r="T50" s="9"/>
      <c r="U50" s="9"/>
    </row>
    <row r="51" spans="1:21" ht="12.75" customHeight="1" x14ac:dyDescent="0.35">
      <c r="A51" s="1"/>
      <c r="B51" s="1" t="s">
        <v>242</v>
      </c>
      <c r="C51" s="1" t="s">
        <v>220</v>
      </c>
      <c r="D51" s="8">
        <v>2</v>
      </c>
      <c r="E51" s="8"/>
      <c r="F51" s="10"/>
      <c r="G51" s="8"/>
      <c r="H51" s="8"/>
      <c r="I51" s="10"/>
      <c r="J51" s="8"/>
      <c r="K51" s="8"/>
      <c r="L51" s="10"/>
      <c r="M51" s="8"/>
      <c r="N51" s="8"/>
      <c r="O51" s="10"/>
      <c r="P51" s="9"/>
      <c r="Q51" s="9"/>
      <c r="R51" s="9"/>
      <c r="S51" s="9"/>
      <c r="T51" s="9"/>
      <c r="U51" s="9"/>
    </row>
    <row r="52" spans="1:21" ht="12.75" customHeight="1" x14ac:dyDescent="0.35">
      <c r="A52" s="1"/>
      <c r="B52" s="1" t="s">
        <v>242</v>
      </c>
      <c r="C52" s="1" t="s">
        <v>223</v>
      </c>
      <c r="D52" s="8">
        <v>2</v>
      </c>
      <c r="E52" s="8"/>
      <c r="F52" s="10"/>
      <c r="G52" s="8"/>
      <c r="H52" s="8"/>
      <c r="I52" s="10"/>
      <c r="J52" s="8"/>
      <c r="K52" s="8"/>
      <c r="L52" s="10"/>
      <c r="M52" s="8"/>
      <c r="N52" s="8"/>
      <c r="O52" s="10"/>
      <c r="P52" s="9"/>
      <c r="Q52" s="9"/>
      <c r="R52" s="9"/>
      <c r="S52" s="9"/>
      <c r="T52" s="9"/>
      <c r="U52" s="9"/>
    </row>
    <row r="53" spans="1:21" ht="12.75" customHeight="1" x14ac:dyDescent="0.35">
      <c r="A53" s="1"/>
      <c r="B53" s="1" t="s">
        <v>242</v>
      </c>
      <c r="C53" s="1" t="s">
        <v>226</v>
      </c>
      <c r="D53" s="8">
        <v>2</v>
      </c>
      <c r="E53" s="8"/>
      <c r="F53" s="10"/>
      <c r="G53" s="8"/>
      <c r="H53" s="8"/>
      <c r="I53" s="10"/>
      <c r="J53" s="8"/>
      <c r="K53" s="8"/>
      <c r="L53" s="10"/>
      <c r="M53" s="8"/>
      <c r="N53" s="8"/>
      <c r="O53" s="10"/>
      <c r="P53" s="9"/>
      <c r="Q53" s="9"/>
      <c r="R53" s="9"/>
      <c r="S53" s="9"/>
      <c r="T53" s="9"/>
      <c r="U53" s="9"/>
    </row>
    <row r="54" spans="1:21" ht="12.75" customHeight="1" x14ac:dyDescent="0.35">
      <c r="A54" s="1"/>
      <c r="B54" s="1" t="s">
        <v>242</v>
      </c>
      <c r="C54" s="1" t="s">
        <v>229</v>
      </c>
      <c r="D54" s="8">
        <v>2</v>
      </c>
      <c r="E54" s="8"/>
      <c r="F54" s="10"/>
      <c r="G54" s="8"/>
      <c r="H54" s="8"/>
      <c r="I54" s="10"/>
      <c r="J54" s="8"/>
      <c r="K54" s="8"/>
      <c r="L54" s="10"/>
      <c r="M54" s="8"/>
      <c r="N54" s="8"/>
      <c r="O54" s="10"/>
      <c r="P54" s="9"/>
      <c r="Q54" s="9"/>
      <c r="R54" s="9"/>
      <c r="S54" s="9"/>
      <c r="T54" s="9"/>
      <c r="U54" s="9"/>
    </row>
    <row r="55" spans="1:21" ht="12.75" customHeight="1" x14ac:dyDescent="0.35">
      <c r="A55" s="1"/>
      <c r="B55" s="1" t="s">
        <v>242</v>
      </c>
      <c r="C55" s="1" t="s">
        <v>232</v>
      </c>
      <c r="D55" s="8">
        <v>2</v>
      </c>
      <c r="E55" s="8"/>
      <c r="F55" s="10"/>
      <c r="G55" s="8"/>
      <c r="H55" s="8"/>
      <c r="I55" s="10"/>
      <c r="J55" s="8"/>
      <c r="K55" s="8"/>
      <c r="L55" s="10"/>
      <c r="M55" s="8"/>
      <c r="N55" s="8"/>
      <c r="O55" s="10"/>
      <c r="P55" s="9"/>
      <c r="Q55" s="9"/>
      <c r="R55" s="9"/>
      <c r="S55" s="9"/>
      <c r="T55" s="9"/>
      <c r="U55" s="9"/>
    </row>
    <row r="56" spans="1:21" ht="12.75" customHeight="1" x14ac:dyDescent="0.35">
      <c r="A56" s="1"/>
      <c r="B56" s="1" t="s">
        <v>242</v>
      </c>
      <c r="C56" s="1" t="s">
        <v>235</v>
      </c>
      <c r="D56" s="8">
        <v>6</v>
      </c>
      <c r="E56" s="8"/>
      <c r="F56" s="10"/>
      <c r="G56" s="8"/>
      <c r="H56" s="8"/>
      <c r="I56" s="10"/>
      <c r="J56" s="8"/>
      <c r="K56" s="8"/>
      <c r="L56" s="10"/>
      <c r="M56" s="8"/>
      <c r="N56" s="8"/>
      <c r="O56" s="10"/>
      <c r="P56" s="9"/>
      <c r="Q56" s="9"/>
      <c r="R56" s="9"/>
      <c r="S56" s="9"/>
      <c r="T56" s="9"/>
      <c r="U56" s="9"/>
    </row>
    <row r="57" spans="1:21" ht="12.75" customHeight="1" x14ac:dyDescent="0.35">
      <c r="A57" s="1"/>
      <c r="B57" s="1" t="s">
        <v>242</v>
      </c>
      <c r="C57" s="1" t="s">
        <v>238</v>
      </c>
      <c r="D57" s="8">
        <v>1</v>
      </c>
      <c r="E57" s="8"/>
      <c r="F57" s="10"/>
      <c r="G57" s="8"/>
      <c r="H57" s="8"/>
      <c r="I57" s="10"/>
      <c r="J57" s="8"/>
      <c r="K57" s="8"/>
      <c r="L57" s="10"/>
      <c r="M57" s="8"/>
      <c r="N57" s="8"/>
      <c r="O57" s="10"/>
      <c r="P57" s="9"/>
      <c r="Q57" s="9"/>
      <c r="R57" s="9"/>
      <c r="S57" s="9"/>
      <c r="T57" s="9"/>
      <c r="U57" s="9"/>
    </row>
    <row r="58" spans="1:21" ht="12.75" customHeight="1" x14ac:dyDescent="0.35">
      <c r="A58" s="4" t="s">
        <v>207</v>
      </c>
      <c r="B58" s="4" t="s">
        <v>11</v>
      </c>
      <c r="C58" s="1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ht="12.75" customHeight="1" x14ac:dyDescent="0.35">
      <c r="A59" s="1"/>
      <c r="B59" s="1"/>
      <c r="C59" s="1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ht="12.75" customHeight="1" x14ac:dyDescent="0.35">
      <c r="A60" s="2" t="s">
        <v>243</v>
      </c>
      <c r="B60" s="2" t="s">
        <v>1</v>
      </c>
      <c r="C60" s="1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ht="12.75" customHeight="1" x14ac:dyDescent="0.35">
      <c r="A61" s="1" t="s">
        <v>3</v>
      </c>
      <c r="B61" s="1" t="s">
        <v>244</v>
      </c>
      <c r="C61" s="3" t="s">
        <v>245</v>
      </c>
      <c r="D61" s="1" t="s">
        <v>246</v>
      </c>
      <c r="E61" s="9" t="s">
        <v>247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ht="12.75" customHeight="1" x14ac:dyDescent="0.35">
      <c r="A62" s="1"/>
      <c r="B62" s="1" t="s">
        <v>244</v>
      </c>
      <c r="C62" s="3" t="s">
        <v>101</v>
      </c>
      <c r="D62" s="11">
        <v>0</v>
      </c>
      <c r="E62" s="10">
        <v>2.7E-2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ht="12.75" customHeight="1" x14ac:dyDescent="0.35">
      <c r="A63" s="1" t="s">
        <v>3</v>
      </c>
      <c r="B63" s="1" t="s">
        <v>248</v>
      </c>
      <c r="C63" s="3" t="s">
        <v>245</v>
      </c>
      <c r="D63" s="1" t="s">
        <v>249</v>
      </c>
      <c r="E63" s="9" t="s">
        <v>140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ht="12.75" customHeight="1" x14ac:dyDescent="0.35">
      <c r="A64" s="1"/>
      <c r="B64" s="1" t="s">
        <v>248</v>
      </c>
      <c r="C64" s="1" t="s">
        <v>101</v>
      </c>
      <c r="D64" s="1" t="s">
        <v>250</v>
      </c>
      <c r="E64" s="10" t="s">
        <v>251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ht="12.75" customHeight="1" x14ac:dyDescent="0.35">
      <c r="A65" s="1" t="s">
        <v>3</v>
      </c>
      <c r="B65" s="1" t="s">
        <v>252</v>
      </c>
      <c r="C65" s="3" t="s">
        <v>253</v>
      </c>
      <c r="D65" s="3" t="s">
        <v>254</v>
      </c>
      <c r="E65" s="3" t="s">
        <v>255</v>
      </c>
      <c r="F65" s="3" t="s">
        <v>256</v>
      </c>
      <c r="G65" s="3" t="s">
        <v>257</v>
      </c>
      <c r="H65" s="3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 ht="12.75" customHeight="1" x14ac:dyDescent="0.35">
      <c r="A66" s="1"/>
      <c r="B66" s="1" t="s">
        <v>215</v>
      </c>
      <c r="C66" s="1" t="s">
        <v>132</v>
      </c>
      <c r="D66" s="1" t="s">
        <v>124</v>
      </c>
      <c r="E66" s="1" t="s">
        <v>126</v>
      </c>
      <c r="F66" s="1" t="s">
        <v>330</v>
      </c>
      <c r="G66" s="1" t="s">
        <v>331</v>
      </c>
      <c r="H66" s="1" t="s">
        <v>332</v>
      </c>
      <c r="I66" s="1" t="s">
        <v>333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ht="12.75" customHeight="1" x14ac:dyDescent="0.35">
      <c r="A67" s="1"/>
      <c r="B67" s="1" t="s">
        <v>217</v>
      </c>
      <c r="C67" s="1" t="s">
        <v>132</v>
      </c>
      <c r="D67" s="1" t="s">
        <v>124</v>
      </c>
      <c r="E67" s="1" t="s">
        <v>126</v>
      </c>
      <c r="F67" s="1" t="s">
        <v>330</v>
      </c>
      <c r="G67" s="1" t="s">
        <v>331</v>
      </c>
      <c r="H67" s="1" t="s">
        <v>332</v>
      </c>
      <c r="I67" s="1" t="s">
        <v>333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ht="12.75" customHeight="1" x14ac:dyDescent="0.35">
      <c r="A68" s="1"/>
      <c r="B68" s="1" t="s">
        <v>220</v>
      </c>
      <c r="C68" s="1" t="s">
        <v>132</v>
      </c>
      <c r="D68" s="1" t="s">
        <v>124</v>
      </c>
      <c r="E68" s="9"/>
      <c r="F68" s="1" t="s">
        <v>330</v>
      </c>
      <c r="G68" s="1" t="s">
        <v>331</v>
      </c>
      <c r="H68" s="1" t="s">
        <v>332</v>
      </c>
      <c r="I68" s="1" t="s">
        <v>333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ht="12.75" customHeight="1" x14ac:dyDescent="0.35">
      <c r="A69" s="1"/>
      <c r="B69" s="1" t="s">
        <v>223</v>
      </c>
      <c r="C69" s="1" t="s">
        <v>132</v>
      </c>
      <c r="D69" s="1" t="s">
        <v>124</v>
      </c>
      <c r="E69" s="9"/>
      <c r="F69" s="1" t="s">
        <v>330</v>
      </c>
      <c r="G69" s="1" t="s">
        <v>331</v>
      </c>
      <c r="H69" s="1" t="s">
        <v>332</v>
      </c>
      <c r="I69" s="1" t="s">
        <v>333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 ht="12.75" customHeight="1" x14ac:dyDescent="0.35">
      <c r="A70" s="1"/>
      <c r="B70" s="1" t="s">
        <v>226</v>
      </c>
      <c r="C70" s="1" t="s">
        <v>132</v>
      </c>
      <c r="D70" s="1" t="s">
        <v>124</v>
      </c>
      <c r="E70" s="9"/>
      <c r="F70" s="1" t="s">
        <v>330</v>
      </c>
      <c r="G70" s="1" t="s">
        <v>331</v>
      </c>
      <c r="H70" s="1" t="s">
        <v>332</v>
      </c>
      <c r="I70" s="1" t="s">
        <v>333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ht="12.75" customHeight="1" x14ac:dyDescent="0.35">
      <c r="A71" s="1"/>
      <c r="B71" s="1" t="s">
        <v>229</v>
      </c>
      <c r="C71" s="1" t="s">
        <v>132</v>
      </c>
      <c r="D71" s="1" t="s">
        <v>124</v>
      </c>
      <c r="E71" s="9"/>
      <c r="F71" s="1" t="s">
        <v>330</v>
      </c>
      <c r="G71" s="1" t="s">
        <v>331</v>
      </c>
      <c r="H71" s="1" t="s">
        <v>332</v>
      </c>
      <c r="I71" s="1" t="s">
        <v>333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ht="12.75" customHeight="1" x14ac:dyDescent="0.35">
      <c r="A72" s="1"/>
      <c r="B72" s="1" t="s">
        <v>232</v>
      </c>
      <c r="C72" s="1" t="s">
        <v>132</v>
      </c>
      <c r="D72" s="1" t="s">
        <v>124</v>
      </c>
      <c r="E72" s="9"/>
      <c r="F72" s="1"/>
      <c r="G72" s="1"/>
      <c r="H72" s="1"/>
      <c r="I72" s="1"/>
      <c r="J72" s="1" t="s">
        <v>129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ht="12.75" customHeight="1" x14ac:dyDescent="0.35">
      <c r="A73" s="1"/>
      <c r="B73" s="1" t="s">
        <v>235</v>
      </c>
      <c r="C73" s="1" t="s">
        <v>132</v>
      </c>
      <c r="D73" s="1" t="s">
        <v>124</v>
      </c>
      <c r="E73" s="9"/>
      <c r="F73" s="1" t="s">
        <v>330</v>
      </c>
      <c r="G73" s="1" t="s">
        <v>331</v>
      </c>
      <c r="H73" s="1" t="s">
        <v>332</v>
      </c>
      <c r="I73" s="1" t="s">
        <v>333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ht="12.75" customHeight="1" x14ac:dyDescent="0.35">
      <c r="A74" s="1"/>
      <c r="B74" s="1" t="s">
        <v>238</v>
      </c>
      <c r="C74" s="1" t="s">
        <v>132</v>
      </c>
      <c r="E74" s="9"/>
      <c r="F74" s="9"/>
      <c r="H74" s="9"/>
      <c r="I74" s="1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ht="12.75" customHeight="1" x14ac:dyDescent="0.35">
      <c r="A75" s="1" t="s">
        <v>3</v>
      </c>
      <c r="B75" s="1" t="s">
        <v>258</v>
      </c>
      <c r="C75" s="1" t="s">
        <v>252</v>
      </c>
      <c r="D75" s="1" t="s">
        <v>160</v>
      </c>
      <c r="E75" s="9"/>
      <c r="F75" s="9"/>
      <c r="H75" s="9"/>
      <c r="I75" s="1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ht="15.75" customHeight="1" x14ac:dyDescent="0.35">
      <c r="B76" s="1" t="s">
        <v>259</v>
      </c>
      <c r="C76" s="1" t="s">
        <v>232</v>
      </c>
      <c r="D76" s="1" t="s">
        <v>6</v>
      </c>
      <c r="I76" s="1"/>
    </row>
    <row r="77" spans="1:21" ht="12.75" customHeight="1" x14ac:dyDescent="0.35">
      <c r="A77" s="4" t="s">
        <v>243</v>
      </c>
      <c r="B77" s="4" t="s">
        <v>11</v>
      </c>
      <c r="C77" s="1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 ht="12.75" customHeight="1" x14ac:dyDescent="0.35">
      <c r="A78" s="1"/>
      <c r="B78" s="1"/>
      <c r="C78" s="1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ht="12.75" customHeight="1" x14ac:dyDescent="0.35"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 ht="12.75" customHeight="1" x14ac:dyDescent="0.35">
      <c r="A80" s="2" t="s">
        <v>260</v>
      </c>
      <c r="B80" s="2" t="s">
        <v>1</v>
      </c>
      <c r="C80" s="1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ht="12.75" customHeight="1" x14ac:dyDescent="0.35">
      <c r="A81" s="1" t="s">
        <v>3</v>
      </c>
      <c r="B81" s="1" t="s">
        <v>200</v>
      </c>
      <c r="C81" s="3" t="s">
        <v>261</v>
      </c>
      <c r="D81" s="1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 ht="12.75" customHeight="1" x14ac:dyDescent="0.35">
      <c r="A82" s="1"/>
      <c r="B82" s="1" t="s">
        <v>43</v>
      </c>
      <c r="C82" s="1" t="s">
        <v>262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ht="12.75" customHeight="1" x14ac:dyDescent="0.35">
      <c r="A83" s="1"/>
      <c r="B83" s="1" t="s">
        <v>46</v>
      </c>
      <c r="C83" s="1" t="s">
        <v>262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ht="12.75" customHeight="1" x14ac:dyDescent="0.35">
      <c r="A84" s="1"/>
      <c r="B84" s="1" t="s">
        <v>48</v>
      </c>
      <c r="C84" s="1" t="s">
        <v>262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ht="12.75" customHeight="1" x14ac:dyDescent="0.35">
      <c r="A85" s="1"/>
      <c r="B85" s="1" t="s">
        <v>50</v>
      </c>
      <c r="C85" s="1" t="s">
        <v>262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ht="12.75" customHeight="1" x14ac:dyDescent="0.35">
      <c r="A86" s="1"/>
      <c r="B86" s="1" t="s">
        <v>55</v>
      </c>
      <c r="C86" s="1" t="s">
        <v>263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ht="12.75" customHeight="1" x14ac:dyDescent="0.35">
      <c r="A87" s="4" t="s">
        <v>260</v>
      </c>
      <c r="B87" s="4" t="s">
        <v>11</v>
      </c>
      <c r="C87" s="1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ht="12.75" customHeight="1" x14ac:dyDescent="0.35"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ht="12.75" customHeight="1" x14ac:dyDescent="0.35"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ht="12.75" customHeight="1" x14ac:dyDescent="0.35"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ht="12.75" customHeight="1" x14ac:dyDescent="0.35"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ht="12.75" customHeight="1" x14ac:dyDescent="0.35"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ht="12.75" customHeight="1" x14ac:dyDescent="0.35"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ht="12.75" customHeight="1" x14ac:dyDescent="0.35"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ht="12.75" customHeight="1" x14ac:dyDescent="0.35"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ht="12.75" customHeight="1" x14ac:dyDescent="0.35"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4:21" ht="12.75" customHeight="1" x14ac:dyDescent="0.35"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4:21" ht="12.75" customHeight="1" x14ac:dyDescent="0.35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4:21" ht="12.75" customHeight="1" x14ac:dyDescent="0.35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4:21" ht="12.75" customHeight="1" x14ac:dyDescent="0.35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4:21" ht="12.75" customHeight="1" x14ac:dyDescent="0.35"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4:21" ht="12.75" customHeight="1" x14ac:dyDescent="0.35"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4:21" ht="12.75" customHeight="1" x14ac:dyDescent="0.35"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4:21" ht="12.75" customHeight="1" x14ac:dyDescent="0.35"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4:21" ht="12.75" customHeight="1" x14ac:dyDescent="0.35"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spans="4:21" ht="12.75" customHeight="1" x14ac:dyDescent="0.35"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spans="4:21" ht="12.75" customHeight="1" x14ac:dyDescent="0.35"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spans="4:21" ht="12.75" customHeight="1" x14ac:dyDescent="0.35"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4:21" ht="12.75" customHeight="1" x14ac:dyDescent="0.35"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4:21" ht="12.75" customHeight="1" x14ac:dyDescent="0.35"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spans="4:21" ht="12.75" customHeight="1" x14ac:dyDescent="0.35"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spans="4:21" ht="12.75" customHeight="1" x14ac:dyDescent="0.35"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4:21" ht="12.75" customHeight="1" x14ac:dyDescent="0.35"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spans="4:21" ht="12.75" customHeight="1" x14ac:dyDescent="0.35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4:21" ht="12.75" customHeight="1" x14ac:dyDescent="0.35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4:21" ht="12.75" customHeight="1" x14ac:dyDescent="0.35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4:21" ht="12.75" customHeight="1" x14ac:dyDescent="0.35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4:21" ht="12.75" customHeight="1" x14ac:dyDescent="0.35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4:21" ht="12.75" customHeight="1" x14ac:dyDescent="0.35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spans="4:21" ht="12.75" customHeight="1" x14ac:dyDescent="0.35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4:21" ht="12.75" customHeight="1" x14ac:dyDescent="0.35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4:21" ht="12.75" customHeight="1" x14ac:dyDescent="0.35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4:21" ht="12.75" customHeight="1" x14ac:dyDescent="0.35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spans="4:21" ht="12.75" customHeight="1" x14ac:dyDescent="0.35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4:21" ht="12.75" customHeight="1" x14ac:dyDescent="0.35"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4:21" ht="12.75" customHeight="1" x14ac:dyDescent="0.35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4:21" ht="12.75" customHeight="1" x14ac:dyDescent="0.35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4:21" ht="12.75" customHeight="1" x14ac:dyDescent="0.35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4:21" ht="12.75" customHeight="1" x14ac:dyDescent="0.35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4:21" ht="12.75" customHeight="1" x14ac:dyDescent="0.35"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4:21" ht="12.75" customHeight="1" x14ac:dyDescent="0.35"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4:21" ht="12.75" customHeight="1" x14ac:dyDescent="0.35"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4:21" ht="12.75" customHeight="1" x14ac:dyDescent="0.35"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4:21" ht="12.75" customHeight="1" x14ac:dyDescent="0.35"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4:21" ht="12.75" customHeight="1" x14ac:dyDescent="0.35"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4:21" ht="12.75" customHeight="1" x14ac:dyDescent="0.35"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4:21" ht="12.75" customHeight="1" x14ac:dyDescent="0.35"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4:21" ht="12.75" customHeight="1" x14ac:dyDescent="0.35"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4:21" ht="12.75" customHeight="1" x14ac:dyDescent="0.35"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4:21" ht="12.75" customHeight="1" x14ac:dyDescent="0.35"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4:21" ht="12.75" customHeight="1" x14ac:dyDescent="0.35"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4:21" ht="12.75" customHeight="1" x14ac:dyDescent="0.35"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4:21" ht="12.75" customHeight="1" x14ac:dyDescent="0.35"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4:21" ht="12.75" customHeight="1" x14ac:dyDescent="0.35"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4:21" ht="12.75" customHeight="1" x14ac:dyDescent="0.35"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4:21" ht="12.75" customHeight="1" x14ac:dyDescent="0.35"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4:21" ht="12.75" customHeight="1" x14ac:dyDescent="0.35"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4:21" ht="12.75" customHeight="1" x14ac:dyDescent="0.35"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4:21" ht="12.75" customHeight="1" x14ac:dyDescent="0.35"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spans="4:21" ht="12.75" customHeight="1" x14ac:dyDescent="0.35"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spans="4:21" ht="12.75" customHeight="1" x14ac:dyDescent="0.35"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spans="4:21" ht="12.75" customHeight="1" x14ac:dyDescent="0.35"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spans="4:21" ht="12.75" customHeight="1" x14ac:dyDescent="0.35"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spans="4:21" ht="12.75" customHeight="1" x14ac:dyDescent="0.35"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spans="4:21" ht="12.75" customHeight="1" x14ac:dyDescent="0.35"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spans="4:21" ht="12.75" customHeight="1" x14ac:dyDescent="0.35"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spans="4:21" ht="12.75" customHeight="1" x14ac:dyDescent="0.35"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spans="4:21" ht="12.75" customHeight="1" x14ac:dyDescent="0.35"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spans="4:21" ht="12.75" customHeight="1" x14ac:dyDescent="0.35"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spans="4:21" ht="12.75" customHeight="1" x14ac:dyDescent="0.35"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spans="4:21" ht="12.75" customHeight="1" x14ac:dyDescent="0.35"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spans="4:21" ht="12.75" customHeight="1" x14ac:dyDescent="0.35"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spans="4:21" ht="12.75" customHeight="1" x14ac:dyDescent="0.35"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spans="4:21" ht="12.75" customHeight="1" x14ac:dyDescent="0.35"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spans="4:21" ht="12.75" customHeight="1" x14ac:dyDescent="0.35"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spans="4:21" ht="12.75" customHeight="1" x14ac:dyDescent="0.35"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spans="4:21" ht="12.75" customHeight="1" x14ac:dyDescent="0.35"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spans="4:21" ht="12.75" customHeight="1" x14ac:dyDescent="0.35"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spans="4:21" ht="12.75" customHeight="1" x14ac:dyDescent="0.35"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spans="4:21" ht="12.75" customHeight="1" x14ac:dyDescent="0.35"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spans="4:21" ht="12.75" customHeight="1" x14ac:dyDescent="0.35"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spans="4:21" ht="12.75" customHeight="1" x14ac:dyDescent="0.35"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spans="4:21" ht="12.75" customHeight="1" x14ac:dyDescent="0.35"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spans="4:21" ht="12.75" customHeight="1" x14ac:dyDescent="0.35"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spans="4:21" ht="12.75" customHeight="1" x14ac:dyDescent="0.35"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spans="4:21" ht="12.75" customHeight="1" x14ac:dyDescent="0.35"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spans="4:21" ht="12.75" customHeight="1" x14ac:dyDescent="0.35"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spans="4:21" ht="12.75" customHeight="1" x14ac:dyDescent="0.35"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spans="4:21" ht="12.75" customHeight="1" x14ac:dyDescent="0.35"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 spans="4:21" ht="12.75" customHeight="1" x14ac:dyDescent="0.35"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spans="4:21" ht="12.75" customHeight="1" x14ac:dyDescent="0.35"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spans="4:21" ht="12.75" customHeight="1" x14ac:dyDescent="0.35"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spans="4:21" ht="12.75" customHeight="1" x14ac:dyDescent="0.35"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 spans="4:21" ht="12.75" customHeight="1" x14ac:dyDescent="0.35"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spans="4:21" ht="12.75" customHeight="1" x14ac:dyDescent="0.35"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 spans="4:21" ht="12.75" customHeight="1" x14ac:dyDescent="0.35"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spans="4:21" ht="12.75" customHeight="1" x14ac:dyDescent="0.35"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spans="4:21" ht="12.75" customHeight="1" x14ac:dyDescent="0.35"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spans="4:21" ht="12.75" customHeight="1" x14ac:dyDescent="0.35"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 spans="4:21" ht="12.75" customHeight="1" x14ac:dyDescent="0.35"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spans="4:21" ht="12.75" customHeight="1" x14ac:dyDescent="0.35"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 spans="4:21" ht="12.75" customHeight="1" x14ac:dyDescent="0.35"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spans="4:21" ht="12.75" customHeight="1" x14ac:dyDescent="0.35"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spans="4:21" ht="12.75" customHeight="1" x14ac:dyDescent="0.35"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spans="4:21" ht="12.75" customHeight="1" x14ac:dyDescent="0.35"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spans="4:21" ht="12.75" customHeight="1" x14ac:dyDescent="0.35"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spans="4:21" ht="12.75" customHeight="1" x14ac:dyDescent="0.35"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 spans="4:21" ht="12.75" customHeight="1" x14ac:dyDescent="0.35"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spans="4:21" ht="12.75" customHeight="1" x14ac:dyDescent="0.35"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spans="4:21" ht="12.75" customHeight="1" x14ac:dyDescent="0.35"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spans="4:21" ht="12.75" customHeight="1" x14ac:dyDescent="0.35"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 spans="4:21" ht="12.75" customHeight="1" x14ac:dyDescent="0.35"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spans="4:21" ht="12.75" customHeight="1" x14ac:dyDescent="0.35"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 spans="4:21" ht="12.75" customHeight="1" x14ac:dyDescent="0.35"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spans="4:21" ht="12.75" customHeight="1" x14ac:dyDescent="0.35"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spans="4:21" ht="12.75" customHeight="1" x14ac:dyDescent="0.35"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spans="4:21" ht="12.75" customHeight="1" x14ac:dyDescent="0.35"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 spans="4:21" ht="12.75" customHeight="1" x14ac:dyDescent="0.35"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spans="4:21" ht="12.75" customHeight="1" x14ac:dyDescent="0.35"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 spans="4:21" ht="12.75" customHeight="1" x14ac:dyDescent="0.35"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spans="4:21" ht="12.75" customHeight="1" x14ac:dyDescent="0.35"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spans="4:21" ht="12.75" customHeight="1" x14ac:dyDescent="0.35"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spans="4:21" ht="12.75" customHeight="1" x14ac:dyDescent="0.35"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spans="4:21" ht="12.75" customHeight="1" x14ac:dyDescent="0.35"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spans="4:21" ht="12.75" customHeight="1" x14ac:dyDescent="0.35"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spans="4:21" ht="12.75" customHeight="1" x14ac:dyDescent="0.35"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spans="4:21" ht="12.75" customHeight="1" x14ac:dyDescent="0.35"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spans="4:21" ht="12.75" customHeight="1" x14ac:dyDescent="0.35"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spans="4:21" ht="12.75" customHeight="1" x14ac:dyDescent="0.35"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spans="4:21" ht="12.75" customHeight="1" x14ac:dyDescent="0.35"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spans="4:21" ht="12.75" customHeight="1" x14ac:dyDescent="0.35"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spans="4:21" ht="12.75" customHeight="1" x14ac:dyDescent="0.35"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spans="4:21" ht="12.75" customHeight="1" x14ac:dyDescent="0.35"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spans="4:21" ht="12.75" customHeight="1" x14ac:dyDescent="0.35"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spans="4:21" ht="12.75" customHeight="1" x14ac:dyDescent="0.35"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spans="4:21" ht="12.75" customHeight="1" x14ac:dyDescent="0.35"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spans="4:21" ht="12.75" customHeight="1" x14ac:dyDescent="0.35"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spans="4:21" ht="12.75" customHeight="1" x14ac:dyDescent="0.35"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spans="4:21" ht="12.75" customHeight="1" x14ac:dyDescent="0.35"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spans="4:21" ht="12.75" customHeight="1" x14ac:dyDescent="0.35"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spans="4:21" ht="12.75" customHeight="1" x14ac:dyDescent="0.35"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spans="4:21" ht="12.75" customHeight="1" x14ac:dyDescent="0.35"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spans="4:21" ht="12.75" customHeight="1" x14ac:dyDescent="0.35"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spans="4:21" ht="12.75" customHeight="1" x14ac:dyDescent="0.35"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spans="4:21" ht="12.75" customHeight="1" x14ac:dyDescent="0.35"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spans="4:21" ht="12.75" customHeight="1" x14ac:dyDescent="0.35"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spans="4:21" ht="12.75" customHeight="1" x14ac:dyDescent="0.35"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spans="4:21" ht="12.75" customHeight="1" x14ac:dyDescent="0.35"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spans="4:21" ht="12.75" customHeight="1" x14ac:dyDescent="0.35"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spans="4:21" ht="12.75" customHeight="1" x14ac:dyDescent="0.35"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spans="4:21" ht="12.75" customHeight="1" x14ac:dyDescent="0.35"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spans="4:21" ht="12.75" customHeight="1" x14ac:dyDescent="0.35"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spans="4:21" ht="12.75" customHeight="1" x14ac:dyDescent="0.35"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spans="4:21" ht="12.75" customHeight="1" x14ac:dyDescent="0.35"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spans="4:21" ht="12.75" customHeight="1" x14ac:dyDescent="0.35"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 spans="4:21" ht="12.75" customHeight="1" x14ac:dyDescent="0.35"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spans="4:21" ht="12.75" customHeight="1" x14ac:dyDescent="0.35"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spans="4:21" ht="12.75" customHeight="1" x14ac:dyDescent="0.35"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spans="4:21" ht="12.75" customHeight="1" x14ac:dyDescent="0.35"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 spans="4:21" ht="12.75" customHeight="1" x14ac:dyDescent="0.35"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spans="4:21" ht="12.75" customHeight="1" x14ac:dyDescent="0.35"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 spans="4:21" ht="12.75" customHeight="1" x14ac:dyDescent="0.35"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spans="4:21" ht="12.75" customHeight="1" x14ac:dyDescent="0.35"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spans="4:21" ht="12.75" customHeight="1" x14ac:dyDescent="0.35"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spans="4:21" ht="12.75" customHeight="1" x14ac:dyDescent="0.35"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 spans="4:21" ht="12.75" customHeight="1" x14ac:dyDescent="0.35"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spans="4:21" ht="12.75" customHeight="1" x14ac:dyDescent="0.35"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spans="4:21" ht="12.75" customHeight="1" x14ac:dyDescent="0.35"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spans="4:21" ht="12.75" customHeight="1" x14ac:dyDescent="0.35"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spans="4:21" ht="12.75" customHeight="1" x14ac:dyDescent="0.35"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spans="4:21" ht="12.75" customHeight="1" x14ac:dyDescent="0.35"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 spans="4:21" ht="12.75" customHeight="1" x14ac:dyDescent="0.35"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spans="4:21" ht="12.75" customHeight="1" x14ac:dyDescent="0.35"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 spans="4:21" ht="12.75" customHeight="1" x14ac:dyDescent="0.35"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spans="4:21" ht="12.75" customHeight="1" x14ac:dyDescent="0.35"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spans="4:21" ht="12.75" customHeight="1" x14ac:dyDescent="0.35"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spans="4:21" ht="12.75" customHeight="1" x14ac:dyDescent="0.35"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 spans="4:21" ht="12.75" customHeight="1" x14ac:dyDescent="0.35"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spans="4:21" ht="12.75" customHeight="1" x14ac:dyDescent="0.35"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 spans="4:21" ht="12.75" customHeight="1" x14ac:dyDescent="0.35"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spans="4:21" ht="12.75" customHeight="1" x14ac:dyDescent="0.35"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 spans="4:21" ht="12.75" customHeight="1" x14ac:dyDescent="0.35"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 spans="4:21" ht="12.75" customHeight="1" x14ac:dyDescent="0.35"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 spans="4:21" ht="12.75" customHeight="1" x14ac:dyDescent="0.35"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 spans="4:21" ht="12.75" customHeight="1" x14ac:dyDescent="0.35"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 spans="4:21" ht="12.75" customHeight="1" x14ac:dyDescent="0.35"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 spans="4:21" ht="12.75" customHeight="1" x14ac:dyDescent="0.35"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 spans="4:21" ht="12.75" customHeight="1" x14ac:dyDescent="0.35"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 spans="4:21" ht="12.75" customHeight="1" x14ac:dyDescent="0.35"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 spans="4:21" ht="12.75" customHeight="1" x14ac:dyDescent="0.35"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 spans="4:21" ht="12.75" customHeight="1" x14ac:dyDescent="0.35"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 spans="4:21" ht="12.75" customHeight="1" x14ac:dyDescent="0.35"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 spans="4:21" ht="12.75" customHeight="1" x14ac:dyDescent="0.35"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 spans="4:21" ht="12.75" customHeight="1" x14ac:dyDescent="0.35"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 spans="4:21" ht="12.75" customHeight="1" x14ac:dyDescent="0.35"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 spans="4:21" ht="12.75" customHeight="1" x14ac:dyDescent="0.35"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 spans="4:21" ht="12.75" customHeight="1" x14ac:dyDescent="0.35"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 spans="4:21" ht="12.75" customHeight="1" x14ac:dyDescent="0.35"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 spans="4:21" ht="12.75" customHeight="1" x14ac:dyDescent="0.35"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 spans="4:21" ht="12.75" customHeight="1" x14ac:dyDescent="0.35"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 spans="4:21" ht="12.75" customHeight="1" x14ac:dyDescent="0.35"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 spans="4:21" ht="12.75" customHeight="1" x14ac:dyDescent="0.35"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 spans="4:21" ht="12.75" customHeight="1" x14ac:dyDescent="0.35"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 spans="4:21" ht="12.75" customHeight="1" x14ac:dyDescent="0.35"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 spans="4:21" ht="12.75" customHeight="1" x14ac:dyDescent="0.35"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 spans="4:21" ht="12.75" customHeight="1" x14ac:dyDescent="0.35"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 spans="4:21" ht="12.75" customHeight="1" x14ac:dyDescent="0.35"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 spans="4:21" ht="12.75" customHeight="1" x14ac:dyDescent="0.35"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 spans="4:21" ht="12.75" customHeight="1" x14ac:dyDescent="0.35"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 spans="4:21" ht="12.75" customHeight="1" x14ac:dyDescent="0.35"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 spans="4:21" ht="12.75" customHeight="1" x14ac:dyDescent="0.35"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 spans="4:21" ht="12.75" customHeight="1" x14ac:dyDescent="0.35"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 spans="4:21" ht="12.75" customHeight="1" x14ac:dyDescent="0.35"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 spans="4:21" ht="12.75" customHeight="1" x14ac:dyDescent="0.35"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 spans="4:21" ht="12.75" customHeight="1" x14ac:dyDescent="0.35"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 spans="4:21" ht="12.75" customHeight="1" x14ac:dyDescent="0.35"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 spans="4:21" ht="12.75" customHeight="1" x14ac:dyDescent="0.35"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 spans="4:21" ht="12.75" customHeight="1" x14ac:dyDescent="0.35"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 spans="4:21" ht="12.75" customHeight="1" x14ac:dyDescent="0.35"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 spans="4:21" ht="12.75" customHeight="1" x14ac:dyDescent="0.35"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 spans="4:21" ht="12.75" customHeight="1" x14ac:dyDescent="0.35"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 spans="4:21" ht="12.75" customHeight="1" x14ac:dyDescent="0.35"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 spans="4:21" ht="12.75" customHeight="1" x14ac:dyDescent="0.35"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 spans="4:21" ht="12.75" customHeight="1" x14ac:dyDescent="0.35"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 spans="4:21" ht="12.75" customHeight="1" x14ac:dyDescent="0.35"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 spans="4:21" ht="12.75" customHeight="1" x14ac:dyDescent="0.35"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 spans="4:21" ht="12.75" customHeight="1" x14ac:dyDescent="0.35"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 spans="4:21" ht="12.75" customHeight="1" x14ac:dyDescent="0.35"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 spans="4:21" ht="12.75" customHeight="1" x14ac:dyDescent="0.35"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 spans="4:21" ht="12.75" customHeight="1" x14ac:dyDescent="0.35"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 spans="4:21" ht="12.75" customHeight="1" x14ac:dyDescent="0.35"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 spans="4:21" ht="12.75" customHeight="1" x14ac:dyDescent="0.35"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 spans="4:21" ht="12.75" customHeight="1" x14ac:dyDescent="0.35"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 spans="4:21" ht="12.75" customHeight="1" x14ac:dyDescent="0.35"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 spans="4:21" ht="12.75" customHeight="1" x14ac:dyDescent="0.35"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 spans="4:21" ht="12.75" customHeight="1" x14ac:dyDescent="0.35"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 spans="4:21" ht="12.75" customHeight="1" x14ac:dyDescent="0.35"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 spans="4:21" ht="12.75" customHeight="1" x14ac:dyDescent="0.35"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 spans="4:21" ht="12.75" customHeight="1" x14ac:dyDescent="0.35"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 spans="4:21" ht="12.75" customHeight="1" x14ac:dyDescent="0.35"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 spans="4:21" ht="12.75" customHeight="1" x14ac:dyDescent="0.35"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 spans="4:21" ht="12.75" customHeight="1" x14ac:dyDescent="0.35"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 spans="4:21" ht="12.75" customHeight="1" x14ac:dyDescent="0.35"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 spans="4:21" ht="12.75" customHeight="1" x14ac:dyDescent="0.35"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 spans="4:21" ht="12.75" customHeight="1" x14ac:dyDescent="0.35"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 spans="4:21" ht="12.75" customHeight="1" x14ac:dyDescent="0.35"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 spans="4:21" ht="12.75" customHeight="1" x14ac:dyDescent="0.35"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 spans="4:21" ht="12.75" customHeight="1" x14ac:dyDescent="0.35"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 spans="4:21" ht="12.75" customHeight="1" x14ac:dyDescent="0.35"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 spans="4:21" ht="12.75" customHeight="1" x14ac:dyDescent="0.35"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 spans="4:21" ht="12.75" customHeight="1" x14ac:dyDescent="0.35"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 spans="4:21" ht="12.75" customHeight="1" x14ac:dyDescent="0.35"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 spans="4:21" ht="12.75" customHeight="1" x14ac:dyDescent="0.35"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 spans="4:21" ht="12.75" customHeight="1" x14ac:dyDescent="0.35"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 spans="4:21" ht="12.75" customHeight="1" x14ac:dyDescent="0.35"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 spans="4:21" ht="12.75" customHeight="1" x14ac:dyDescent="0.35"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 spans="4:21" ht="12.75" customHeight="1" x14ac:dyDescent="0.35"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 spans="4:21" ht="12.75" customHeight="1" x14ac:dyDescent="0.35"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 spans="4:21" ht="12.75" customHeight="1" x14ac:dyDescent="0.35"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 spans="4:21" ht="12.75" customHeight="1" x14ac:dyDescent="0.35"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 spans="4:21" ht="12.75" customHeight="1" x14ac:dyDescent="0.35"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 spans="4:21" ht="12.75" customHeight="1" x14ac:dyDescent="0.35"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 spans="4:21" ht="12.75" customHeight="1" x14ac:dyDescent="0.35"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 spans="4:21" ht="12.75" customHeight="1" x14ac:dyDescent="0.35"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 spans="4:21" ht="12.75" customHeight="1" x14ac:dyDescent="0.35"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 spans="4:21" ht="12.75" customHeight="1" x14ac:dyDescent="0.35"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 spans="4:21" ht="12.75" customHeight="1" x14ac:dyDescent="0.35"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 spans="4:21" ht="12.75" customHeight="1" x14ac:dyDescent="0.35"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 spans="4:21" ht="12.75" customHeight="1" x14ac:dyDescent="0.35"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 spans="4:21" ht="12.75" customHeight="1" x14ac:dyDescent="0.35"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 spans="4:21" ht="12.75" customHeight="1" x14ac:dyDescent="0.35"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 spans="4:21" ht="12.75" customHeight="1" x14ac:dyDescent="0.35"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 spans="4:21" ht="12.75" customHeight="1" x14ac:dyDescent="0.35"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 spans="4:21" ht="12.75" customHeight="1" x14ac:dyDescent="0.35"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 spans="4:21" ht="12.75" customHeight="1" x14ac:dyDescent="0.35"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 spans="4:21" ht="12.75" customHeight="1" x14ac:dyDescent="0.35"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 spans="4:21" ht="12.75" customHeight="1" x14ac:dyDescent="0.35"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 spans="4:21" ht="12.75" customHeight="1" x14ac:dyDescent="0.35"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 spans="4:21" ht="12.75" customHeight="1" x14ac:dyDescent="0.35"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 spans="4:21" ht="12.75" customHeight="1" x14ac:dyDescent="0.35"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 spans="4:21" ht="12.75" customHeight="1" x14ac:dyDescent="0.35"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 spans="4:21" ht="12.75" customHeight="1" x14ac:dyDescent="0.35"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 spans="4:21" ht="12.75" customHeight="1" x14ac:dyDescent="0.35"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 spans="4:21" ht="12.75" customHeight="1" x14ac:dyDescent="0.35"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 spans="4:21" ht="12.75" customHeight="1" x14ac:dyDescent="0.35"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 spans="4:21" ht="12.75" customHeight="1" x14ac:dyDescent="0.35"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 spans="4:21" ht="12.75" customHeight="1" x14ac:dyDescent="0.35"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 spans="4:21" ht="12.75" customHeight="1" x14ac:dyDescent="0.35"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 spans="4:21" ht="12.75" customHeight="1" x14ac:dyDescent="0.35"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 spans="4:21" ht="12.75" customHeight="1" x14ac:dyDescent="0.35"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 spans="4:21" ht="12.75" customHeight="1" x14ac:dyDescent="0.35"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 spans="4:21" ht="12.75" customHeight="1" x14ac:dyDescent="0.35"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 spans="4:21" ht="12.75" customHeight="1" x14ac:dyDescent="0.35"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 spans="4:21" ht="12.75" customHeight="1" x14ac:dyDescent="0.35"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 spans="4:21" ht="12.75" customHeight="1" x14ac:dyDescent="0.35"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 spans="4:21" ht="12.75" customHeight="1" x14ac:dyDescent="0.35"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 spans="4:21" ht="12.75" customHeight="1" x14ac:dyDescent="0.35"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 spans="4:21" ht="12.75" customHeight="1" x14ac:dyDescent="0.35"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 spans="4:21" ht="12.75" customHeight="1" x14ac:dyDescent="0.35"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 spans="4:21" ht="12.75" customHeight="1" x14ac:dyDescent="0.35"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 spans="4:21" ht="12.75" customHeight="1" x14ac:dyDescent="0.35"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 spans="4:21" ht="12.75" customHeight="1" x14ac:dyDescent="0.35"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 spans="4:21" ht="12.75" customHeight="1" x14ac:dyDescent="0.35"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 spans="4:21" ht="12.75" customHeight="1" x14ac:dyDescent="0.35"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 spans="4:21" ht="12.75" customHeight="1" x14ac:dyDescent="0.35"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 spans="4:21" ht="12.75" customHeight="1" x14ac:dyDescent="0.35"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 spans="4:21" ht="12.75" customHeight="1" x14ac:dyDescent="0.35"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 spans="4:21" ht="12.75" customHeight="1" x14ac:dyDescent="0.35"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 spans="4:21" ht="12.75" customHeight="1" x14ac:dyDescent="0.35"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 spans="4:21" ht="12.75" customHeight="1" x14ac:dyDescent="0.35"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 spans="4:21" ht="12.75" customHeight="1" x14ac:dyDescent="0.35"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 spans="4:21" ht="12.75" customHeight="1" x14ac:dyDescent="0.35"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 spans="4:21" ht="12.75" customHeight="1" x14ac:dyDescent="0.35"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 spans="4:21" ht="12.75" customHeight="1" x14ac:dyDescent="0.35"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 spans="4:21" ht="12.75" customHeight="1" x14ac:dyDescent="0.35"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 spans="4:21" ht="12.75" customHeight="1" x14ac:dyDescent="0.35"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 spans="4:21" ht="12.75" customHeight="1" x14ac:dyDescent="0.35"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 spans="4:21" ht="12.75" customHeight="1" x14ac:dyDescent="0.35"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 spans="4:21" ht="12.75" customHeight="1" x14ac:dyDescent="0.35"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 spans="4:21" ht="12.75" customHeight="1" x14ac:dyDescent="0.35"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 spans="4:21" ht="12.75" customHeight="1" x14ac:dyDescent="0.35"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 spans="4:21" ht="12.75" customHeight="1" x14ac:dyDescent="0.35"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 spans="4:21" ht="12.75" customHeight="1" x14ac:dyDescent="0.35"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 spans="4:21" ht="12.75" customHeight="1" x14ac:dyDescent="0.35"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 spans="4:21" ht="12.75" customHeight="1" x14ac:dyDescent="0.35"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 spans="4:21" ht="12.75" customHeight="1" x14ac:dyDescent="0.35"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 spans="4:21" ht="12.75" customHeight="1" x14ac:dyDescent="0.35"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 spans="4:21" ht="12.75" customHeight="1" x14ac:dyDescent="0.35"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 spans="4:21" ht="12.75" customHeight="1" x14ac:dyDescent="0.35"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 spans="4:21" ht="12.75" customHeight="1" x14ac:dyDescent="0.35"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 spans="4:21" ht="12.75" customHeight="1" x14ac:dyDescent="0.35"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 spans="4:21" ht="12.75" customHeight="1" x14ac:dyDescent="0.35"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 spans="4:21" ht="12.75" customHeight="1" x14ac:dyDescent="0.35"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 spans="4:21" ht="12.75" customHeight="1" x14ac:dyDescent="0.35"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 spans="4:21" ht="12.75" customHeight="1" x14ac:dyDescent="0.35"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 spans="4:21" ht="12.75" customHeight="1" x14ac:dyDescent="0.35"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 spans="4:21" ht="12.75" customHeight="1" x14ac:dyDescent="0.35"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 spans="4:21" ht="12.75" customHeight="1" x14ac:dyDescent="0.35"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 spans="4:21" ht="12.75" customHeight="1" x14ac:dyDescent="0.35"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 spans="4:21" ht="12.75" customHeight="1" x14ac:dyDescent="0.35"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 spans="4:21" ht="12.75" customHeight="1" x14ac:dyDescent="0.35"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 spans="4:21" ht="12.75" customHeight="1" x14ac:dyDescent="0.35"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 spans="4:21" ht="12.75" customHeight="1" x14ac:dyDescent="0.35"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 spans="4:21" ht="12.75" customHeight="1" x14ac:dyDescent="0.35"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 spans="4:21" ht="12.75" customHeight="1" x14ac:dyDescent="0.35"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 spans="4:21" ht="12.75" customHeight="1" x14ac:dyDescent="0.35"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 spans="4:21" ht="12.75" customHeight="1" x14ac:dyDescent="0.35"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 spans="4:21" ht="12.75" customHeight="1" x14ac:dyDescent="0.35"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 spans="4:21" ht="12.75" customHeight="1" x14ac:dyDescent="0.35"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 spans="4:21" ht="12.75" customHeight="1" x14ac:dyDescent="0.35"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 spans="4:21" ht="12.75" customHeight="1" x14ac:dyDescent="0.35"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 spans="4:21" ht="12.75" customHeight="1" x14ac:dyDescent="0.35"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 spans="4:21" ht="12.75" customHeight="1" x14ac:dyDescent="0.35"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 spans="4:21" ht="12.75" customHeight="1" x14ac:dyDescent="0.35"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 spans="4:21" ht="12.75" customHeight="1" x14ac:dyDescent="0.35"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 spans="4:21" ht="12.75" customHeight="1" x14ac:dyDescent="0.35"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 spans="4:21" ht="12.75" customHeight="1" x14ac:dyDescent="0.35"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 spans="4:21" ht="12.75" customHeight="1" x14ac:dyDescent="0.35"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 spans="4:21" ht="12.75" customHeight="1" x14ac:dyDescent="0.35"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 spans="4:21" ht="12.75" customHeight="1" x14ac:dyDescent="0.35"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 spans="4:21" ht="12.75" customHeight="1" x14ac:dyDescent="0.35"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 spans="4:21" ht="12.75" customHeight="1" x14ac:dyDescent="0.35"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 spans="4:21" ht="12.75" customHeight="1" x14ac:dyDescent="0.35"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 spans="4:21" ht="12.75" customHeight="1" x14ac:dyDescent="0.35"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 spans="4:21" ht="12.75" customHeight="1" x14ac:dyDescent="0.35"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 spans="4:21" ht="12.75" customHeight="1" x14ac:dyDescent="0.35"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 spans="4:21" ht="12.75" customHeight="1" x14ac:dyDescent="0.35"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 spans="4:21" ht="12.75" customHeight="1" x14ac:dyDescent="0.35"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 spans="4:21" ht="12.75" customHeight="1" x14ac:dyDescent="0.35"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 spans="4:21" ht="12.75" customHeight="1" x14ac:dyDescent="0.35"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 spans="4:21" ht="12.75" customHeight="1" x14ac:dyDescent="0.35"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 spans="4:21" ht="12.75" customHeight="1" x14ac:dyDescent="0.35"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 spans="4:21" ht="12.75" customHeight="1" x14ac:dyDescent="0.35"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 spans="4:21" ht="12.75" customHeight="1" x14ac:dyDescent="0.35"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 spans="4:21" ht="12.75" customHeight="1" x14ac:dyDescent="0.35"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 spans="4:21" ht="12.75" customHeight="1" x14ac:dyDescent="0.35"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 spans="4:21" ht="12.75" customHeight="1" x14ac:dyDescent="0.35"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 spans="4:21" ht="12.75" customHeight="1" x14ac:dyDescent="0.35"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 spans="4:21" ht="12.75" customHeight="1" x14ac:dyDescent="0.35"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 spans="4:21" ht="12.75" customHeight="1" x14ac:dyDescent="0.35"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 spans="4:21" ht="12.75" customHeight="1" x14ac:dyDescent="0.35"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 spans="4:21" ht="12.75" customHeight="1" x14ac:dyDescent="0.35"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 spans="4:21" ht="12.75" customHeight="1" x14ac:dyDescent="0.35"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 spans="4:21" ht="12.75" customHeight="1" x14ac:dyDescent="0.35"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 spans="4:21" ht="12.75" customHeight="1" x14ac:dyDescent="0.35"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 spans="4:21" ht="12.75" customHeight="1" x14ac:dyDescent="0.35"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 spans="4:21" ht="12.75" customHeight="1" x14ac:dyDescent="0.35"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 spans="4:21" ht="12.75" customHeight="1" x14ac:dyDescent="0.35"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 spans="4:21" ht="12.75" customHeight="1" x14ac:dyDescent="0.35"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 spans="4:21" ht="12.75" customHeight="1" x14ac:dyDescent="0.35"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 spans="4:21" ht="12.75" customHeight="1" x14ac:dyDescent="0.35"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 spans="4:21" ht="12.75" customHeight="1" x14ac:dyDescent="0.35"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 spans="4:21" ht="12.75" customHeight="1" x14ac:dyDescent="0.35"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 spans="4:21" ht="12.75" customHeight="1" x14ac:dyDescent="0.35"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 spans="4:21" ht="12.75" customHeight="1" x14ac:dyDescent="0.35"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 spans="4:21" ht="12.75" customHeight="1" x14ac:dyDescent="0.35"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 spans="4:21" ht="12.75" customHeight="1" x14ac:dyDescent="0.35"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 spans="4:21" ht="12.75" customHeight="1" x14ac:dyDescent="0.35"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 spans="4:21" ht="12.75" customHeight="1" x14ac:dyDescent="0.35"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 spans="4:21" ht="12.75" customHeight="1" x14ac:dyDescent="0.35"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 spans="4:21" ht="12.75" customHeight="1" x14ac:dyDescent="0.35"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 spans="4:21" ht="12.75" customHeight="1" x14ac:dyDescent="0.35"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 spans="4:21" ht="12.75" customHeight="1" x14ac:dyDescent="0.35"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 spans="4:21" ht="12.75" customHeight="1" x14ac:dyDescent="0.35"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 spans="4:21" ht="12.75" customHeight="1" x14ac:dyDescent="0.35"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 spans="4:21" ht="12.75" customHeight="1" x14ac:dyDescent="0.35"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 spans="4:21" ht="12.75" customHeight="1" x14ac:dyDescent="0.35"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 spans="4:21" ht="12.75" customHeight="1" x14ac:dyDescent="0.35"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 spans="4:21" ht="12.75" customHeight="1" x14ac:dyDescent="0.35"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 spans="4:21" ht="12.75" customHeight="1" x14ac:dyDescent="0.35"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 spans="4:21" ht="12.75" customHeight="1" x14ac:dyDescent="0.35"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 spans="4:21" ht="12.75" customHeight="1" x14ac:dyDescent="0.35"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 spans="4:21" ht="12.75" customHeight="1" x14ac:dyDescent="0.35"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 spans="4:21" ht="12.75" customHeight="1" x14ac:dyDescent="0.35"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 spans="4:21" ht="12.75" customHeight="1" x14ac:dyDescent="0.35"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 spans="4:21" ht="12.75" customHeight="1" x14ac:dyDescent="0.35"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 spans="4:21" ht="12.75" customHeight="1" x14ac:dyDescent="0.35"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 spans="4:21" ht="12.75" customHeight="1" x14ac:dyDescent="0.35"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 spans="4:21" ht="12.75" customHeight="1" x14ac:dyDescent="0.35"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 spans="4:21" ht="12.75" customHeight="1" x14ac:dyDescent="0.35"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 spans="4:21" ht="12.75" customHeight="1" x14ac:dyDescent="0.35"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 spans="4:21" ht="12.75" customHeight="1" x14ac:dyDescent="0.35"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 spans="4:21" ht="12.75" customHeight="1" x14ac:dyDescent="0.35"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 spans="4:21" ht="12.75" customHeight="1" x14ac:dyDescent="0.35"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 spans="4:21" ht="12.75" customHeight="1" x14ac:dyDescent="0.35"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 spans="4:21" ht="12.75" customHeight="1" x14ac:dyDescent="0.35"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 spans="4:21" ht="12.75" customHeight="1" x14ac:dyDescent="0.35"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 spans="4:21" ht="12.75" customHeight="1" x14ac:dyDescent="0.35"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 spans="4:21" ht="12.75" customHeight="1" x14ac:dyDescent="0.35"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 spans="4:21" ht="12.75" customHeight="1" x14ac:dyDescent="0.35"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 spans="4:21" ht="12.75" customHeight="1" x14ac:dyDescent="0.35"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 spans="4:21" ht="12.75" customHeight="1" x14ac:dyDescent="0.35"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 spans="4:21" ht="12.75" customHeight="1" x14ac:dyDescent="0.35"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 spans="4:21" ht="12.75" customHeight="1" x14ac:dyDescent="0.35"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 spans="4:21" ht="12.75" customHeight="1" x14ac:dyDescent="0.35"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 spans="4:21" ht="12.75" customHeight="1" x14ac:dyDescent="0.35"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 spans="4:21" ht="12.75" customHeight="1" x14ac:dyDescent="0.35"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 spans="4:21" ht="12.75" customHeight="1" x14ac:dyDescent="0.35"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 spans="4:21" ht="12.75" customHeight="1" x14ac:dyDescent="0.35"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 spans="4:21" ht="12.75" customHeight="1" x14ac:dyDescent="0.35"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 spans="4:21" ht="12.75" customHeight="1" x14ac:dyDescent="0.35"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 spans="4:21" ht="12.75" customHeight="1" x14ac:dyDescent="0.35"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 spans="4:21" ht="12.75" customHeight="1" x14ac:dyDescent="0.35"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 spans="4:21" ht="12.75" customHeight="1" x14ac:dyDescent="0.35"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 spans="4:21" ht="12.75" customHeight="1" x14ac:dyDescent="0.35"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 spans="4:21" ht="12.75" customHeight="1" x14ac:dyDescent="0.35"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 spans="4:21" ht="12.75" customHeight="1" x14ac:dyDescent="0.35"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 spans="4:21" ht="12.75" customHeight="1" x14ac:dyDescent="0.35"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 spans="4:21" ht="12.75" customHeight="1" x14ac:dyDescent="0.35"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 spans="4:21" ht="12.75" customHeight="1" x14ac:dyDescent="0.35"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 spans="4:21" ht="12.75" customHeight="1" x14ac:dyDescent="0.35"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 spans="4:21" ht="12.75" customHeight="1" x14ac:dyDescent="0.35"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 spans="4:21" ht="12.75" customHeight="1" x14ac:dyDescent="0.35"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 spans="4:21" ht="12.75" customHeight="1" x14ac:dyDescent="0.35"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 spans="4:21" ht="12.75" customHeight="1" x14ac:dyDescent="0.35"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 spans="4:21" ht="12.75" customHeight="1" x14ac:dyDescent="0.35"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 spans="4:21" ht="12.75" customHeight="1" x14ac:dyDescent="0.35"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 spans="4:21" ht="12.75" customHeight="1" x14ac:dyDescent="0.35"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 spans="4:21" ht="12.75" customHeight="1" x14ac:dyDescent="0.35"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 spans="4:21" ht="12.75" customHeight="1" x14ac:dyDescent="0.35"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 spans="4:21" ht="12.75" customHeight="1" x14ac:dyDescent="0.35"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 spans="4:21" ht="12.75" customHeight="1" x14ac:dyDescent="0.35"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 spans="4:21" ht="12.75" customHeight="1" x14ac:dyDescent="0.35"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 spans="4:21" ht="12.75" customHeight="1" x14ac:dyDescent="0.35"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 spans="4:21" ht="12.75" customHeight="1" x14ac:dyDescent="0.35"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 spans="4:21" ht="12.75" customHeight="1" x14ac:dyDescent="0.35"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 spans="4:21" ht="12.75" customHeight="1" x14ac:dyDescent="0.35"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 spans="4:21" ht="12.75" customHeight="1" x14ac:dyDescent="0.35"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 spans="4:21" ht="12.75" customHeight="1" x14ac:dyDescent="0.35"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 spans="4:21" ht="12.75" customHeight="1" x14ac:dyDescent="0.35"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 spans="4:21" ht="12.75" customHeight="1" x14ac:dyDescent="0.35"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 spans="4:21" ht="12.75" customHeight="1" x14ac:dyDescent="0.35"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 spans="4:21" ht="12.75" customHeight="1" x14ac:dyDescent="0.35"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 spans="4:21" ht="12.75" customHeight="1" x14ac:dyDescent="0.35"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 spans="4:21" ht="12.75" customHeight="1" x14ac:dyDescent="0.35"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 spans="4:21" ht="12.75" customHeight="1" x14ac:dyDescent="0.35"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 spans="4:21" ht="12.75" customHeight="1" x14ac:dyDescent="0.35"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 spans="4:21" ht="12.75" customHeight="1" x14ac:dyDescent="0.35"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 spans="4:21" ht="12.75" customHeight="1" x14ac:dyDescent="0.35"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 spans="4:21" ht="12.75" customHeight="1" x14ac:dyDescent="0.35"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 spans="4:21" ht="12.75" customHeight="1" x14ac:dyDescent="0.35"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 spans="4:21" ht="12.75" customHeight="1" x14ac:dyDescent="0.35"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 spans="4:21" ht="12.75" customHeight="1" x14ac:dyDescent="0.35"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 spans="4:21" ht="12.75" customHeight="1" x14ac:dyDescent="0.35"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 spans="4:21" ht="12.75" customHeight="1" x14ac:dyDescent="0.35"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 spans="4:21" ht="12.75" customHeight="1" x14ac:dyDescent="0.35"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 spans="4:21" ht="12.75" customHeight="1" x14ac:dyDescent="0.35"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 spans="4:21" ht="12.75" customHeight="1" x14ac:dyDescent="0.35"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 spans="4:21" ht="12.75" customHeight="1" x14ac:dyDescent="0.35"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 spans="4:21" ht="12.75" customHeight="1" x14ac:dyDescent="0.35"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 spans="4:21" ht="12.75" customHeight="1" x14ac:dyDescent="0.35"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 spans="4:21" ht="12.75" customHeight="1" x14ac:dyDescent="0.35"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 spans="4:21" ht="12.75" customHeight="1" x14ac:dyDescent="0.35"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 spans="4:21" ht="12.75" customHeight="1" x14ac:dyDescent="0.35"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 spans="4:21" ht="12.75" customHeight="1" x14ac:dyDescent="0.35"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 spans="4:21" ht="12.75" customHeight="1" x14ac:dyDescent="0.35"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 spans="4:21" ht="12.75" customHeight="1" x14ac:dyDescent="0.35"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 spans="4:21" ht="12.75" customHeight="1" x14ac:dyDescent="0.35"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 spans="4:21" ht="12.75" customHeight="1" x14ac:dyDescent="0.35"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 spans="4:21" ht="12.75" customHeight="1" x14ac:dyDescent="0.35"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 spans="4:21" ht="12.75" customHeight="1" x14ac:dyDescent="0.35"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 spans="4:21" ht="12.75" customHeight="1" x14ac:dyDescent="0.35"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 spans="4:21" ht="12.75" customHeight="1" x14ac:dyDescent="0.35"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 spans="4:21" ht="12.75" customHeight="1" x14ac:dyDescent="0.35"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 spans="4:21" ht="12.75" customHeight="1" x14ac:dyDescent="0.35"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 spans="4:21" ht="12.75" customHeight="1" x14ac:dyDescent="0.35"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 spans="4:21" ht="12.75" customHeight="1" x14ac:dyDescent="0.35"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 spans="4:21" ht="12.75" customHeight="1" x14ac:dyDescent="0.35"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 spans="4:21" ht="12.75" customHeight="1" x14ac:dyDescent="0.35"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 spans="4:21" ht="12.75" customHeight="1" x14ac:dyDescent="0.35"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 spans="4:21" ht="12.75" customHeight="1" x14ac:dyDescent="0.35"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 spans="4:21" ht="12.75" customHeight="1" x14ac:dyDescent="0.35"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 spans="4:21" ht="12.75" customHeight="1" x14ac:dyDescent="0.35"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 spans="4:21" ht="12.75" customHeight="1" x14ac:dyDescent="0.35"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 spans="4:21" ht="12.75" customHeight="1" x14ac:dyDescent="0.35"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 spans="4:21" ht="12.75" customHeight="1" x14ac:dyDescent="0.35"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 spans="4:21" ht="12.75" customHeight="1" x14ac:dyDescent="0.35"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 spans="4:21" ht="12.75" customHeight="1" x14ac:dyDescent="0.35"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 spans="4:21" ht="12.75" customHeight="1" x14ac:dyDescent="0.35"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 spans="4:21" ht="12.75" customHeight="1" x14ac:dyDescent="0.35"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 spans="4:21" ht="12.75" customHeight="1" x14ac:dyDescent="0.35"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 spans="4:21" ht="12.75" customHeight="1" x14ac:dyDescent="0.35"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 spans="4:21" ht="12.75" customHeight="1" x14ac:dyDescent="0.35"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 spans="4:21" ht="12.75" customHeight="1" x14ac:dyDescent="0.35"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 spans="4:21" ht="12.75" customHeight="1" x14ac:dyDescent="0.35"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 spans="4:21" ht="12.75" customHeight="1" x14ac:dyDescent="0.35"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 spans="4:21" ht="12.75" customHeight="1" x14ac:dyDescent="0.35"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 spans="4:21" ht="12.75" customHeight="1" x14ac:dyDescent="0.35"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 spans="4:21" ht="12.75" customHeight="1" x14ac:dyDescent="0.35"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 spans="4:21" ht="12.75" customHeight="1" x14ac:dyDescent="0.35"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 spans="4:21" ht="12.75" customHeight="1" x14ac:dyDescent="0.35"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 spans="4:21" ht="12.75" customHeight="1" x14ac:dyDescent="0.35"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 spans="4:21" ht="12.75" customHeight="1" x14ac:dyDescent="0.35"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 spans="4:21" ht="12.75" customHeight="1" x14ac:dyDescent="0.35"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 spans="4:21" ht="12.75" customHeight="1" x14ac:dyDescent="0.35"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 spans="4:21" ht="12.75" customHeight="1" x14ac:dyDescent="0.35"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 spans="4:21" ht="12.75" customHeight="1" x14ac:dyDescent="0.35"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 spans="4:21" ht="12.75" customHeight="1" x14ac:dyDescent="0.35"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 spans="4:21" ht="12.75" customHeight="1" x14ac:dyDescent="0.35"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 spans="4:21" ht="12.75" customHeight="1" x14ac:dyDescent="0.35"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 spans="4:21" ht="12.75" customHeight="1" x14ac:dyDescent="0.35"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 spans="4:21" ht="12.75" customHeight="1" x14ac:dyDescent="0.35"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 spans="4:21" ht="12.75" customHeight="1" x14ac:dyDescent="0.35"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 spans="4:21" ht="12.75" customHeight="1" x14ac:dyDescent="0.35"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 spans="4:21" ht="12.75" customHeight="1" x14ac:dyDescent="0.35"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 spans="4:21" ht="12.75" customHeight="1" x14ac:dyDescent="0.35"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 spans="4:21" ht="12.75" customHeight="1" x14ac:dyDescent="0.35"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 spans="4:21" ht="12.75" customHeight="1" x14ac:dyDescent="0.35"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 spans="4:21" ht="12.75" customHeight="1" x14ac:dyDescent="0.35"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 spans="4:21" ht="12.75" customHeight="1" x14ac:dyDescent="0.35"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 spans="4:21" ht="12.75" customHeight="1" x14ac:dyDescent="0.35"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 spans="4:21" ht="12.75" customHeight="1" x14ac:dyDescent="0.35"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 spans="4:21" ht="12.75" customHeight="1" x14ac:dyDescent="0.35"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 spans="4:21" ht="12.75" customHeight="1" x14ac:dyDescent="0.35"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 spans="4:21" ht="12.75" customHeight="1" x14ac:dyDescent="0.35"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 spans="4:21" ht="12.75" customHeight="1" x14ac:dyDescent="0.35"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 spans="4:21" ht="12.75" customHeight="1" x14ac:dyDescent="0.35"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 spans="4:21" ht="12.75" customHeight="1" x14ac:dyDescent="0.35"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 spans="4:21" ht="12.75" customHeight="1" x14ac:dyDescent="0.35"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 spans="4:21" ht="12.75" customHeight="1" x14ac:dyDescent="0.35"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 spans="4:21" ht="12.75" customHeight="1" x14ac:dyDescent="0.35"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 spans="4:21" ht="12.75" customHeight="1" x14ac:dyDescent="0.35"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 spans="4:21" ht="12.75" customHeight="1" x14ac:dyDescent="0.35"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 spans="4:21" ht="12.75" customHeight="1" x14ac:dyDescent="0.35"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 spans="4:21" ht="12.75" customHeight="1" x14ac:dyDescent="0.35"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 spans="4:21" ht="12.75" customHeight="1" x14ac:dyDescent="0.35"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 spans="4:21" ht="12.75" customHeight="1" x14ac:dyDescent="0.35"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 spans="4:21" ht="12.75" customHeight="1" x14ac:dyDescent="0.35"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 spans="4:21" ht="12.75" customHeight="1" x14ac:dyDescent="0.35"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 spans="4:21" ht="12.75" customHeight="1" x14ac:dyDescent="0.35"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 spans="4:21" ht="12.75" customHeight="1" x14ac:dyDescent="0.35"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 spans="4:21" ht="12.75" customHeight="1" x14ac:dyDescent="0.35"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 spans="4:21" ht="12.75" customHeight="1" x14ac:dyDescent="0.35"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 spans="4:21" ht="12.75" customHeight="1" x14ac:dyDescent="0.35"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 spans="4:21" ht="12.75" customHeight="1" x14ac:dyDescent="0.35"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 spans="4:21" ht="12.75" customHeight="1" x14ac:dyDescent="0.35"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 spans="4:21" ht="12.75" customHeight="1" x14ac:dyDescent="0.35"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 spans="4:21" ht="12.75" customHeight="1" x14ac:dyDescent="0.35"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 spans="4:21" ht="12.75" customHeight="1" x14ac:dyDescent="0.35"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 spans="4:21" ht="12.75" customHeight="1" x14ac:dyDescent="0.35"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 spans="4:21" ht="12.75" customHeight="1" x14ac:dyDescent="0.35"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 spans="4:21" ht="12.75" customHeight="1" x14ac:dyDescent="0.35"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 spans="4:21" ht="12.75" customHeight="1" x14ac:dyDescent="0.35"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 spans="4:21" ht="12.75" customHeight="1" x14ac:dyDescent="0.35"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 spans="4:21" ht="12.75" customHeight="1" x14ac:dyDescent="0.35"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 spans="4:21" ht="12.75" customHeight="1" x14ac:dyDescent="0.35"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 spans="4:21" ht="12.75" customHeight="1" x14ac:dyDescent="0.35"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 spans="4:21" ht="12.75" customHeight="1" x14ac:dyDescent="0.35"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 spans="4:21" ht="12.75" customHeight="1" x14ac:dyDescent="0.35"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 spans="4:21" ht="12.75" customHeight="1" x14ac:dyDescent="0.35"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 spans="4:21" ht="12.75" customHeight="1" x14ac:dyDescent="0.35"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 spans="4:21" ht="12.75" customHeight="1" x14ac:dyDescent="0.35"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 spans="4:21" ht="12.75" customHeight="1" x14ac:dyDescent="0.35"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 spans="4:21" ht="12.75" customHeight="1" x14ac:dyDescent="0.35"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 spans="4:21" ht="12.75" customHeight="1" x14ac:dyDescent="0.35"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 spans="4:21" ht="12.75" customHeight="1" x14ac:dyDescent="0.35"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 spans="4:21" ht="12.75" customHeight="1" x14ac:dyDescent="0.35"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 spans="4:21" ht="12.75" customHeight="1" x14ac:dyDescent="0.35"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 spans="4:21" ht="12.75" customHeight="1" x14ac:dyDescent="0.35"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 spans="4:21" ht="12.75" customHeight="1" x14ac:dyDescent="0.35"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 spans="4:21" ht="12.75" customHeight="1" x14ac:dyDescent="0.35"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 spans="4:21" ht="12.75" customHeight="1" x14ac:dyDescent="0.35"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 spans="4:21" ht="12.75" customHeight="1" x14ac:dyDescent="0.35"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 spans="4:21" ht="12.75" customHeight="1" x14ac:dyDescent="0.35"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 spans="4:21" ht="12.75" customHeight="1" x14ac:dyDescent="0.35"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 spans="4:21" ht="12.75" customHeight="1" x14ac:dyDescent="0.35"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 spans="4:21" ht="12.75" customHeight="1" x14ac:dyDescent="0.35"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 spans="4:21" ht="12.75" customHeight="1" x14ac:dyDescent="0.35"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 spans="4:21" ht="12.75" customHeight="1" x14ac:dyDescent="0.35"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 spans="4:21" ht="12.75" customHeight="1" x14ac:dyDescent="0.35"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 spans="4:21" ht="12.75" customHeight="1" x14ac:dyDescent="0.35"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 spans="4:21" ht="12.75" customHeight="1" x14ac:dyDescent="0.35"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 spans="4:21" ht="12.75" customHeight="1" x14ac:dyDescent="0.35"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 spans="4:21" ht="12.75" customHeight="1" x14ac:dyDescent="0.35"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 spans="4:21" ht="12.75" customHeight="1" x14ac:dyDescent="0.35"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 spans="4:21" ht="12.75" customHeight="1" x14ac:dyDescent="0.35"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 spans="4:21" ht="12.75" customHeight="1" x14ac:dyDescent="0.35"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 spans="4:21" ht="12.75" customHeight="1" x14ac:dyDescent="0.35"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 spans="4:21" ht="12.75" customHeight="1" x14ac:dyDescent="0.35"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 spans="4:21" ht="12.75" customHeight="1" x14ac:dyDescent="0.35"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 spans="4:21" ht="12.75" customHeight="1" x14ac:dyDescent="0.35"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 spans="4:21" ht="12.75" customHeight="1" x14ac:dyDescent="0.35"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 spans="4:21" ht="12.75" customHeight="1" x14ac:dyDescent="0.35"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 spans="4:21" ht="12.75" customHeight="1" x14ac:dyDescent="0.35"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 spans="4:21" ht="12.75" customHeight="1" x14ac:dyDescent="0.35"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 spans="4:21" ht="12.75" customHeight="1" x14ac:dyDescent="0.35"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 spans="4:21" ht="12.75" customHeight="1" x14ac:dyDescent="0.35"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 spans="4:21" ht="12.75" customHeight="1" x14ac:dyDescent="0.35"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 spans="4:21" ht="12.75" customHeight="1" x14ac:dyDescent="0.35"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 spans="4:21" ht="12.75" customHeight="1" x14ac:dyDescent="0.35"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 spans="4:21" ht="12.75" customHeight="1" x14ac:dyDescent="0.35"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 spans="4:21" ht="12.75" customHeight="1" x14ac:dyDescent="0.35"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 spans="4:21" ht="12.75" customHeight="1" x14ac:dyDescent="0.35"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 spans="4:21" ht="12.75" customHeight="1" x14ac:dyDescent="0.35"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 spans="4:21" ht="12.75" customHeight="1" x14ac:dyDescent="0.35"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 spans="4:21" ht="12.75" customHeight="1" x14ac:dyDescent="0.35"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 spans="4:21" ht="12.75" customHeight="1" x14ac:dyDescent="0.35"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 spans="4:21" ht="12.75" customHeight="1" x14ac:dyDescent="0.35"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 spans="4:21" ht="12.75" customHeight="1" x14ac:dyDescent="0.35"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 spans="4:21" ht="12.75" customHeight="1" x14ac:dyDescent="0.35"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 spans="4:21" ht="12.75" customHeight="1" x14ac:dyDescent="0.35"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 spans="4:21" ht="12.75" customHeight="1" x14ac:dyDescent="0.35"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 spans="4:21" ht="12.75" customHeight="1" x14ac:dyDescent="0.35"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 spans="4:21" ht="12.75" customHeight="1" x14ac:dyDescent="0.35"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 spans="4:21" ht="12.75" customHeight="1" x14ac:dyDescent="0.35"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 spans="4:21" ht="12.75" customHeight="1" x14ac:dyDescent="0.35"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 spans="4:21" ht="12.75" customHeight="1" x14ac:dyDescent="0.35"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 spans="4:21" ht="12.75" customHeight="1" x14ac:dyDescent="0.35"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 spans="4:21" ht="12.75" customHeight="1" x14ac:dyDescent="0.35"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 spans="4:21" ht="12.75" customHeight="1" x14ac:dyDescent="0.35"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 spans="4:21" ht="12.75" customHeight="1" x14ac:dyDescent="0.35"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 spans="4:21" ht="12.75" customHeight="1" x14ac:dyDescent="0.35"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 spans="4:21" ht="12.75" customHeight="1" x14ac:dyDescent="0.35"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 spans="4:21" ht="12.75" customHeight="1" x14ac:dyDescent="0.35"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 spans="4:21" ht="12.75" customHeight="1" x14ac:dyDescent="0.35"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 spans="4:21" ht="12.75" customHeight="1" x14ac:dyDescent="0.35"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 spans="4:21" ht="12.75" customHeight="1" x14ac:dyDescent="0.35"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 spans="4:21" ht="12.75" customHeight="1" x14ac:dyDescent="0.35"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 spans="4:21" ht="12.75" customHeight="1" x14ac:dyDescent="0.35"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 spans="4:21" ht="12.75" customHeight="1" x14ac:dyDescent="0.35"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 spans="4:21" ht="12.75" customHeight="1" x14ac:dyDescent="0.35"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 spans="4:21" ht="12.75" customHeight="1" x14ac:dyDescent="0.35"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 spans="4:21" ht="12.75" customHeight="1" x14ac:dyDescent="0.35"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 spans="4:21" ht="12.75" customHeight="1" x14ac:dyDescent="0.35"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 spans="4:21" ht="12.75" customHeight="1" x14ac:dyDescent="0.35"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 spans="4:21" ht="12.75" customHeight="1" x14ac:dyDescent="0.35"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 spans="4:21" ht="12.75" customHeight="1" x14ac:dyDescent="0.35"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 spans="4:21" ht="12.75" customHeight="1" x14ac:dyDescent="0.35"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 spans="4:21" ht="12.75" customHeight="1" x14ac:dyDescent="0.35"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 spans="4:21" ht="12.75" customHeight="1" x14ac:dyDescent="0.35"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 spans="4:21" ht="12.75" customHeight="1" x14ac:dyDescent="0.35"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 spans="4:21" ht="12.75" customHeight="1" x14ac:dyDescent="0.35"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 spans="4:21" ht="12.75" customHeight="1" x14ac:dyDescent="0.35"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 spans="4:21" ht="12.75" customHeight="1" x14ac:dyDescent="0.35"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 spans="4:21" ht="12.75" customHeight="1" x14ac:dyDescent="0.35"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 spans="4:21" ht="12.75" customHeight="1" x14ac:dyDescent="0.35"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 spans="4:21" ht="12.75" customHeight="1" x14ac:dyDescent="0.35"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 spans="4:21" ht="12.75" customHeight="1" x14ac:dyDescent="0.35"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 spans="4:21" ht="12.75" customHeight="1" x14ac:dyDescent="0.35"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 spans="4:21" ht="12.75" customHeight="1" x14ac:dyDescent="0.35"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 spans="4:21" ht="12.75" customHeight="1" x14ac:dyDescent="0.35"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 spans="4:21" ht="12.75" customHeight="1" x14ac:dyDescent="0.35"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 spans="4:21" ht="12.75" customHeight="1" x14ac:dyDescent="0.35"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 spans="4:21" ht="12.75" customHeight="1" x14ac:dyDescent="0.35"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 spans="4:21" ht="12.75" customHeight="1" x14ac:dyDescent="0.35"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 spans="4:21" ht="12.75" customHeight="1" x14ac:dyDescent="0.35"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 spans="4:21" ht="12.75" customHeight="1" x14ac:dyDescent="0.35"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 spans="4:21" ht="12.75" customHeight="1" x14ac:dyDescent="0.35"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 spans="4:21" ht="12.75" customHeight="1" x14ac:dyDescent="0.35"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 spans="4:21" ht="12.75" customHeight="1" x14ac:dyDescent="0.35"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 spans="4:21" ht="12.75" customHeight="1" x14ac:dyDescent="0.35"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 spans="4:21" ht="12.75" customHeight="1" x14ac:dyDescent="0.35"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 spans="4:21" ht="12.75" customHeight="1" x14ac:dyDescent="0.35"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 spans="4:21" ht="12.75" customHeight="1" x14ac:dyDescent="0.35"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 spans="4:21" ht="12.75" customHeight="1" x14ac:dyDescent="0.35"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 spans="4:21" ht="12.75" customHeight="1" x14ac:dyDescent="0.35"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 spans="4:21" ht="12.75" customHeight="1" x14ac:dyDescent="0.35"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 spans="4:21" ht="12.75" customHeight="1" x14ac:dyDescent="0.35"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 spans="4:21" ht="12.75" customHeight="1" x14ac:dyDescent="0.35"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 spans="4:21" ht="12.75" customHeight="1" x14ac:dyDescent="0.35"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 spans="4:21" ht="12.75" customHeight="1" x14ac:dyDescent="0.35"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 spans="4:21" ht="12.75" customHeight="1" x14ac:dyDescent="0.35"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 spans="4:21" ht="12.75" customHeight="1" x14ac:dyDescent="0.35"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 spans="4:21" ht="12.75" customHeight="1" x14ac:dyDescent="0.35"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 spans="4:21" ht="12.75" customHeight="1" x14ac:dyDescent="0.35"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 spans="4:21" ht="12.75" customHeight="1" x14ac:dyDescent="0.35"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 spans="4:21" ht="12.75" customHeight="1" x14ac:dyDescent="0.35"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 spans="4:21" ht="12.75" customHeight="1" x14ac:dyDescent="0.35"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 spans="4:21" ht="12.75" customHeight="1" x14ac:dyDescent="0.35"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 spans="4:21" ht="12.75" customHeight="1" x14ac:dyDescent="0.35"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 spans="4:21" ht="12.75" customHeight="1" x14ac:dyDescent="0.35"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 spans="4:21" ht="12.75" customHeight="1" x14ac:dyDescent="0.35"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 spans="4:21" ht="12.75" customHeight="1" x14ac:dyDescent="0.35"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 spans="4:21" ht="12.75" customHeight="1" x14ac:dyDescent="0.35"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 spans="4:21" ht="12.75" customHeight="1" x14ac:dyDescent="0.35"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 spans="4:21" ht="12.75" customHeight="1" x14ac:dyDescent="0.35"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 spans="4:21" ht="12.75" customHeight="1" x14ac:dyDescent="0.35"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 spans="4:21" ht="12.75" customHeight="1" x14ac:dyDescent="0.35"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 spans="4:21" ht="12.75" customHeight="1" x14ac:dyDescent="0.35"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 spans="4:21" ht="12.75" customHeight="1" x14ac:dyDescent="0.35"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 spans="4:21" ht="12.75" customHeight="1" x14ac:dyDescent="0.35"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 spans="4:21" ht="12.75" customHeight="1" x14ac:dyDescent="0.35"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 spans="4:21" ht="12.75" customHeight="1" x14ac:dyDescent="0.35"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 spans="4:21" ht="12.75" customHeight="1" x14ac:dyDescent="0.35"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 spans="4:21" ht="12.75" customHeight="1" x14ac:dyDescent="0.35"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 spans="4:21" ht="12.75" customHeight="1" x14ac:dyDescent="0.35"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 spans="4:21" ht="12.75" customHeight="1" x14ac:dyDescent="0.35"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 spans="4:21" ht="12.75" customHeight="1" x14ac:dyDescent="0.35"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 spans="4:21" ht="12.75" customHeight="1" x14ac:dyDescent="0.35"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 spans="4:21" ht="12.75" customHeight="1" x14ac:dyDescent="0.35"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 spans="4:21" ht="12.75" customHeight="1" x14ac:dyDescent="0.35"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 spans="4:21" ht="12.75" customHeight="1" x14ac:dyDescent="0.35"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 spans="4:21" ht="12.75" customHeight="1" x14ac:dyDescent="0.35"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 spans="4:21" ht="12.75" customHeight="1" x14ac:dyDescent="0.35"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 spans="4:21" ht="12.75" customHeight="1" x14ac:dyDescent="0.35"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 spans="4:21" ht="12.75" customHeight="1" x14ac:dyDescent="0.35"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 spans="4:21" ht="12.75" customHeight="1" x14ac:dyDescent="0.35"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 spans="4:21" ht="12.75" customHeight="1" x14ac:dyDescent="0.35"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 spans="4:21" ht="12.75" customHeight="1" x14ac:dyDescent="0.35"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 spans="4:21" ht="12.75" customHeight="1" x14ac:dyDescent="0.35"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 spans="4:21" ht="12.75" customHeight="1" x14ac:dyDescent="0.35"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 spans="4:21" ht="12.75" customHeight="1" x14ac:dyDescent="0.35"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 spans="4:21" ht="12.75" customHeight="1" x14ac:dyDescent="0.35"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 spans="4:21" ht="12.75" customHeight="1" x14ac:dyDescent="0.35"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 spans="4:21" ht="12.75" customHeight="1" x14ac:dyDescent="0.35"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 spans="4:21" ht="12.75" customHeight="1" x14ac:dyDescent="0.35"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 spans="4:21" ht="12.75" customHeight="1" x14ac:dyDescent="0.35"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 spans="4:21" ht="12.75" customHeight="1" x14ac:dyDescent="0.35"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 spans="4:21" ht="12.75" customHeight="1" x14ac:dyDescent="0.35"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 spans="4:21" ht="12.75" customHeight="1" x14ac:dyDescent="0.35"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 spans="4:21" ht="12.75" customHeight="1" x14ac:dyDescent="0.35"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 spans="4:21" ht="12.75" customHeight="1" x14ac:dyDescent="0.35"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 spans="4:21" ht="12.75" customHeight="1" x14ac:dyDescent="0.35"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 spans="4:21" ht="12.75" customHeight="1" x14ac:dyDescent="0.35"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 spans="4:21" ht="12.75" customHeight="1" x14ac:dyDescent="0.35"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 spans="4:21" ht="12.75" customHeight="1" x14ac:dyDescent="0.35"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 spans="4:21" ht="12.75" customHeight="1" x14ac:dyDescent="0.35"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 spans="4:21" ht="12.75" customHeight="1" x14ac:dyDescent="0.35"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 spans="4:21" ht="12.75" customHeight="1" x14ac:dyDescent="0.35"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 spans="4:21" ht="12.75" customHeight="1" x14ac:dyDescent="0.35"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 spans="4:21" ht="12.75" customHeight="1" x14ac:dyDescent="0.35"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 spans="4:21" ht="12.75" customHeight="1" x14ac:dyDescent="0.35"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 spans="4:21" ht="12.75" customHeight="1" x14ac:dyDescent="0.35"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 spans="4:21" ht="12.75" customHeight="1" x14ac:dyDescent="0.35"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 spans="4:21" ht="12.75" customHeight="1" x14ac:dyDescent="0.35"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 spans="4:21" ht="12.75" customHeight="1" x14ac:dyDescent="0.35"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 spans="4:21" ht="12.75" customHeight="1" x14ac:dyDescent="0.35"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 spans="4:21" ht="12.75" customHeight="1" x14ac:dyDescent="0.35"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 spans="4:21" ht="12.75" customHeight="1" x14ac:dyDescent="0.35"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 spans="4:21" ht="12.75" customHeight="1" x14ac:dyDescent="0.35"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 spans="4:21" ht="12.75" customHeight="1" x14ac:dyDescent="0.35"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 spans="4:21" ht="12.75" customHeight="1" x14ac:dyDescent="0.35"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 spans="4:21" ht="12.75" customHeight="1" x14ac:dyDescent="0.35"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 spans="4:21" ht="12.75" customHeight="1" x14ac:dyDescent="0.35"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 spans="4:21" ht="12.75" customHeight="1" x14ac:dyDescent="0.35"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 spans="4:21" ht="12.75" customHeight="1" x14ac:dyDescent="0.35"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 spans="4:21" ht="12.75" customHeight="1" x14ac:dyDescent="0.35"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 spans="4:21" ht="12.75" customHeight="1" x14ac:dyDescent="0.35"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 spans="4:21" ht="12.75" customHeight="1" x14ac:dyDescent="0.35"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 spans="4:21" ht="12.75" customHeight="1" x14ac:dyDescent="0.35"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 spans="4:21" ht="12.75" customHeight="1" x14ac:dyDescent="0.35"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 spans="4:21" ht="12.75" customHeight="1" x14ac:dyDescent="0.35"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 spans="4:21" ht="12.75" customHeight="1" x14ac:dyDescent="0.35"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 spans="4:21" ht="12.75" customHeight="1" x14ac:dyDescent="0.35"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 spans="4:21" ht="12.75" customHeight="1" x14ac:dyDescent="0.35"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 spans="4:21" ht="12.75" customHeight="1" x14ac:dyDescent="0.35"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 spans="4:21" ht="12.75" customHeight="1" x14ac:dyDescent="0.35"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 spans="4:21" ht="12.75" customHeight="1" x14ac:dyDescent="0.35"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 spans="4:21" ht="12.75" customHeight="1" x14ac:dyDescent="0.35"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 spans="4:21" ht="12.75" customHeight="1" x14ac:dyDescent="0.35"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 spans="4:21" ht="12.75" customHeight="1" x14ac:dyDescent="0.35"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 spans="4:21" ht="12.75" customHeight="1" x14ac:dyDescent="0.35"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 spans="4:21" ht="12.75" customHeight="1" x14ac:dyDescent="0.35"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 spans="4:21" ht="12.75" customHeight="1" x14ac:dyDescent="0.35"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 spans="4:21" ht="12.75" customHeight="1" x14ac:dyDescent="0.35"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 spans="4:21" ht="12.75" customHeight="1" x14ac:dyDescent="0.35"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 spans="4:21" ht="12.75" customHeight="1" x14ac:dyDescent="0.35"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 spans="4:21" ht="12.75" customHeight="1" x14ac:dyDescent="0.35"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 spans="4:21" ht="12.75" customHeight="1" x14ac:dyDescent="0.35"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 spans="4:21" ht="12.75" customHeight="1" x14ac:dyDescent="0.35"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 spans="4:21" ht="12.75" customHeight="1" x14ac:dyDescent="0.35"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 spans="4:21" ht="12.75" customHeight="1" x14ac:dyDescent="0.35"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 spans="4:21" ht="12.75" customHeight="1" x14ac:dyDescent="0.35"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 spans="4:21" ht="12.75" customHeight="1" x14ac:dyDescent="0.35"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 spans="4:21" ht="12.75" customHeight="1" x14ac:dyDescent="0.35"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 spans="4:21" ht="12.75" customHeight="1" x14ac:dyDescent="0.35"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 spans="4:21" ht="12.75" customHeight="1" x14ac:dyDescent="0.35"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 spans="4:21" ht="12.75" customHeight="1" x14ac:dyDescent="0.35"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 spans="4:21" ht="12.75" customHeight="1" x14ac:dyDescent="0.35"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 spans="4:21" ht="12.75" customHeight="1" x14ac:dyDescent="0.35"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 spans="4:21" ht="12.75" customHeight="1" x14ac:dyDescent="0.35"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 spans="4:21" ht="12.75" customHeight="1" x14ac:dyDescent="0.35"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 spans="4:21" ht="12.75" customHeight="1" x14ac:dyDescent="0.35"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 spans="4:21" ht="12.75" customHeight="1" x14ac:dyDescent="0.35"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 spans="4:21" ht="12.75" customHeight="1" x14ac:dyDescent="0.35"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 spans="4:21" ht="12.75" customHeight="1" x14ac:dyDescent="0.35"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 spans="4:21" ht="12.75" customHeight="1" x14ac:dyDescent="0.35"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 spans="4:21" ht="12.75" customHeight="1" x14ac:dyDescent="0.35"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 spans="4:21" ht="12.75" customHeight="1" x14ac:dyDescent="0.35"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 spans="4:21" ht="12.75" customHeight="1" x14ac:dyDescent="0.35"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 spans="4:21" ht="12.75" customHeight="1" x14ac:dyDescent="0.35"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 spans="4:21" ht="12.75" customHeight="1" x14ac:dyDescent="0.35"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 spans="4:21" ht="12.75" customHeight="1" x14ac:dyDescent="0.35"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 spans="4:21" ht="12.75" customHeight="1" x14ac:dyDescent="0.35"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 spans="4:21" ht="12.75" customHeight="1" x14ac:dyDescent="0.35"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 spans="4:21" ht="12.75" customHeight="1" x14ac:dyDescent="0.35"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 spans="4:21" ht="12.75" customHeight="1" x14ac:dyDescent="0.35"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 spans="4:21" ht="12.75" customHeight="1" x14ac:dyDescent="0.35"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 spans="4:21" ht="12.75" customHeight="1" x14ac:dyDescent="0.35"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 spans="4:21" ht="12.75" customHeight="1" x14ac:dyDescent="0.35"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 spans="4:21" ht="12.75" customHeight="1" x14ac:dyDescent="0.35"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 spans="4:21" ht="12.75" customHeight="1" x14ac:dyDescent="0.35"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 spans="4:21" ht="12.75" customHeight="1" x14ac:dyDescent="0.35"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 spans="4:21" ht="12.75" customHeight="1" x14ac:dyDescent="0.35"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 spans="4:21" ht="12.75" customHeight="1" x14ac:dyDescent="0.35"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 spans="4:21" ht="12.75" customHeight="1" x14ac:dyDescent="0.35"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 spans="4:21" ht="12.75" customHeight="1" x14ac:dyDescent="0.35"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 spans="4:21" ht="12.75" customHeight="1" x14ac:dyDescent="0.35"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 spans="4:21" ht="12.75" customHeight="1" x14ac:dyDescent="0.35"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 spans="4:21" ht="12.75" customHeight="1" x14ac:dyDescent="0.35"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 spans="4:21" ht="12.75" customHeight="1" x14ac:dyDescent="0.35"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 spans="4:21" ht="12.75" customHeight="1" x14ac:dyDescent="0.35"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 spans="4:21" ht="12.75" customHeight="1" x14ac:dyDescent="0.35"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 spans="4:21" ht="12.75" customHeight="1" x14ac:dyDescent="0.35"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 spans="4:21" ht="12.75" customHeight="1" x14ac:dyDescent="0.35"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 spans="4:21" ht="12.75" customHeight="1" x14ac:dyDescent="0.35"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 spans="4:21" ht="12.75" customHeight="1" x14ac:dyDescent="0.35"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 spans="4:21" ht="12.75" customHeight="1" x14ac:dyDescent="0.35"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 spans="4:21" ht="12.75" customHeight="1" x14ac:dyDescent="0.35"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 spans="4:21" ht="12.75" customHeight="1" x14ac:dyDescent="0.35"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 spans="4:21" ht="12.75" customHeight="1" x14ac:dyDescent="0.35"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 spans="4:21" ht="12.75" customHeight="1" x14ac:dyDescent="0.35"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 spans="4:21" ht="12.75" customHeight="1" x14ac:dyDescent="0.35"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 spans="4:21" ht="12.75" customHeight="1" x14ac:dyDescent="0.35"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 spans="4:21" ht="12.75" customHeight="1" x14ac:dyDescent="0.35"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 spans="4:21" ht="12.75" customHeight="1" x14ac:dyDescent="0.35"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 spans="4:21" ht="12.75" customHeight="1" x14ac:dyDescent="0.35"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 spans="4:21" ht="12.75" customHeight="1" x14ac:dyDescent="0.35"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 spans="4:21" ht="12.75" customHeight="1" x14ac:dyDescent="0.35"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 spans="4:21" ht="12.75" customHeight="1" x14ac:dyDescent="0.35"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 spans="4:21" ht="12.75" customHeight="1" x14ac:dyDescent="0.35"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 spans="4:21" ht="12.75" customHeight="1" x14ac:dyDescent="0.35"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 spans="4:21" ht="12.75" customHeight="1" x14ac:dyDescent="0.35"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 spans="4:21" ht="12.75" customHeight="1" x14ac:dyDescent="0.35"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 spans="4:21" ht="12.75" customHeight="1" x14ac:dyDescent="0.35"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 spans="4:21" ht="12.75" customHeight="1" x14ac:dyDescent="0.35"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 spans="4:21" ht="12.75" customHeight="1" x14ac:dyDescent="0.35"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 spans="4:21" ht="12.75" customHeight="1" x14ac:dyDescent="0.35"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 spans="4:21" ht="12.75" customHeight="1" x14ac:dyDescent="0.35"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 spans="4:21" ht="12.75" customHeight="1" x14ac:dyDescent="0.35"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 spans="4:21" ht="12.75" customHeight="1" x14ac:dyDescent="0.35"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 spans="4:21" ht="12.75" customHeight="1" x14ac:dyDescent="0.35"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 spans="4:21" ht="12.75" customHeight="1" x14ac:dyDescent="0.35"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 spans="4:21" ht="12.75" customHeight="1" x14ac:dyDescent="0.35"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 spans="4:21" ht="12.75" customHeight="1" x14ac:dyDescent="0.35"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 spans="4:21" ht="12.75" customHeight="1" x14ac:dyDescent="0.35"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 spans="4:21" ht="12.75" customHeight="1" x14ac:dyDescent="0.35"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 spans="4:21" ht="12.75" customHeight="1" x14ac:dyDescent="0.35"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 spans="4:21" ht="12.75" customHeight="1" x14ac:dyDescent="0.35"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 spans="4:21" ht="12.75" customHeight="1" x14ac:dyDescent="0.35"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 spans="4:21" ht="12.75" customHeight="1" x14ac:dyDescent="0.35"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 spans="4:21" ht="12.75" customHeight="1" x14ac:dyDescent="0.35"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 spans="4:21" ht="12.75" customHeight="1" x14ac:dyDescent="0.35"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 spans="4:21" ht="12.75" customHeight="1" x14ac:dyDescent="0.35"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 spans="4:21" ht="12.75" customHeight="1" x14ac:dyDescent="0.35"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 spans="4:21" ht="12.75" customHeight="1" x14ac:dyDescent="0.35"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 spans="4:21" ht="12.75" customHeight="1" x14ac:dyDescent="0.35"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 spans="4:21" ht="12.75" customHeight="1" x14ac:dyDescent="0.35"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 spans="4:21" ht="12.75" customHeight="1" x14ac:dyDescent="0.35"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 spans="4:21" ht="12.75" customHeight="1" x14ac:dyDescent="0.35"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 spans="4:21" ht="12.75" customHeight="1" x14ac:dyDescent="0.35"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 spans="4:21" ht="12.75" customHeight="1" x14ac:dyDescent="0.35"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 spans="4:21" ht="12.75" customHeight="1" x14ac:dyDescent="0.35"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 spans="4:21" ht="12.75" customHeight="1" x14ac:dyDescent="0.35"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 spans="4:21" ht="12.75" customHeight="1" x14ac:dyDescent="0.35"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 spans="4:21" ht="12.75" customHeight="1" x14ac:dyDescent="0.35"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 spans="4:21" ht="12.75" customHeight="1" x14ac:dyDescent="0.35"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 spans="4:21" ht="12.75" customHeight="1" x14ac:dyDescent="0.35"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 spans="4:21" ht="12.75" customHeight="1" x14ac:dyDescent="0.35"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 spans="4:21" ht="12.75" customHeight="1" x14ac:dyDescent="0.35"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 spans="4:21" ht="12.75" customHeight="1" x14ac:dyDescent="0.35"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 spans="4:21" ht="12.75" customHeight="1" x14ac:dyDescent="0.35"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 spans="4:21" ht="12.75" customHeight="1" x14ac:dyDescent="0.35"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 spans="4:21" ht="12.75" customHeight="1" x14ac:dyDescent="0.35"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 spans="4:21" ht="12.75" customHeight="1" x14ac:dyDescent="0.35"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 spans="4:21" ht="12.75" customHeight="1" x14ac:dyDescent="0.35"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 spans="4:21" ht="12.75" customHeight="1" x14ac:dyDescent="0.35"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 spans="4:21" ht="12.75" customHeight="1" x14ac:dyDescent="0.35"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 spans="4:21" ht="12.75" customHeight="1" x14ac:dyDescent="0.35"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 spans="4:21" ht="12.75" customHeight="1" x14ac:dyDescent="0.35"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  <row r="1001" spans="4:21" ht="12.75" customHeight="1" x14ac:dyDescent="0.35"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</row>
    <row r="1002" spans="4:21" ht="12.75" customHeight="1" x14ac:dyDescent="0.35"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</row>
    <row r="1003" spans="4:21" ht="12.75" customHeight="1" x14ac:dyDescent="0.35"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</row>
    <row r="1004" spans="4:21" ht="12.75" customHeight="1" x14ac:dyDescent="0.35"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</row>
    <row r="1005" spans="4:21" ht="12.75" customHeight="1" x14ac:dyDescent="0.35"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</row>
    <row r="1006" spans="4:21" ht="12.75" customHeight="1" x14ac:dyDescent="0.35"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</row>
    <row r="1007" spans="4:21" ht="12.75" customHeight="1" x14ac:dyDescent="0.35"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</row>
    <row r="1008" spans="4:21" ht="12.75" customHeight="1" x14ac:dyDescent="0.35"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</row>
    <row r="1009" spans="4:21" ht="12.75" customHeight="1" x14ac:dyDescent="0.35"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</row>
    <row r="1010" spans="4:21" ht="12.75" customHeight="1" x14ac:dyDescent="0.35"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</row>
    <row r="1011" spans="4:21" ht="12.75" customHeight="1" x14ac:dyDescent="0.35"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</row>
    <row r="1012" spans="4:21" ht="12.75" customHeight="1" x14ac:dyDescent="0.35"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</row>
    <row r="1013" spans="4:21" ht="12.75" customHeight="1" x14ac:dyDescent="0.35"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</row>
    <row r="1014" spans="4:21" ht="12.75" customHeight="1" x14ac:dyDescent="0.35"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</row>
    <row r="1015" spans="4:21" ht="12.75" customHeight="1" x14ac:dyDescent="0.35"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</row>
    <row r="1016" spans="4:21" ht="12.75" customHeight="1" x14ac:dyDescent="0.35"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</row>
    <row r="1017" spans="4:21" ht="12.75" customHeight="1" x14ac:dyDescent="0.35"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</row>
    <row r="1018" spans="4:21" ht="12.75" customHeight="1" x14ac:dyDescent="0.35"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</row>
    <row r="1019" spans="4:21" ht="12.75" customHeight="1" x14ac:dyDescent="0.35"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</row>
    <row r="1020" spans="4:21" ht="12.75" customHeight="1" x14ac:dyDescent="0.35"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</row>
    <row r="1021" spans="4:21" ht="12.75" customHeight="1" x14ac:dyDescent="0.35"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</row>
    <row r="1022" spans="4:21" ht="12.75" customHeight="1" x14ac:dyDescent="0.35"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</row>
    <row r="1023" spans="4:21" ht="12.75" customHeight="1" x14ac:dyDescent="0.35"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</row>
    <row r="1024" spans="4:21" ht="12.75" customHeight="1" x14ac:dyDescent="0.35"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</row>
    <row r="1025" spans="4:21" ht="12.75" customHeight="1" x14ac:dyDescent="0.35"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</row>
    <row r="1026" spans="4:21" ht="12.75" customHeight="1" x14ac:dyDescent="0.35"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</row>
    <row r="1027" spans="4:21" ht="12.75" customHeight="1" x14ac:dyDescent="0.35"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</row>
    <row r="1028" spans="4:21" ht="12.75" customHeight="1" x14ac:dyDescent="0.35"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</row>
    <row r="1029" spans="4:21" ht="12.75" customHeight="1" x14ac:dyDescent="0.35"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</row>
    <row r="1030" spans="4:21" ht="12.75" customHeight="1" x14ac:dyDescent="0.35"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</row>
    <row r="1031" spans="4:21" ht="12.75" customHeight="1" x14ac:dyDescent="0.35"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</row>
    <row r="1032" spans="4:21" ht="12.75" customHeight="1" x14ac:dyDescent="0.35"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</row>
    <row r="1033" spans="4:21" ht="12.75" customHeight="1" x14ac:dyDescent="0.35"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</row>
    <row r="1034" spans="4:21" ht="12.75" customHeight="1" x14ac:dyDescent="0.35"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</row>
    <row r="1035" spans="4:21" ht="12.75" customHeight="1" x14ac:dyDescent="0.35"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</row>
    <row r="1036" spans="4:21" ht="12.75" customHeight="1" x14ac:dyDescent="0.35"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</row>
    <row r="1037" spans="4:21" ht="12.75" customHeight="1" x14ac:dyDescent="0.35"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</row>
    <row r="1038" spans="4:21" ht="12.75" customHeight="1" x14ac:dyDescent="0.35"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</row>
    <row r="1039" spans="4:21" ht="12.75" customHeight="1" x14ac:dyDescent="0.35"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</row>
    <row r="1040" spans="4:21" ht="12.75" customHeight="1" x14ac:dyDescent="0.35"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</row>
    <row r="1041" spans="4:21" ht="12.75" customHeight="1" x14ac:dyDescent="0.35"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</row>
    <row r="1042" spans="4:21" ht="12.75" customHeight="1" x14ac:dyDescent="0.35"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</row>
    <row r="1043" spans="4:21" ht="12.75" customHeight="1" x14ac:dyDescent="0.35"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</row>
    <row r="1044" spans="4:21" ht="12.75" customHeight="1" x14ac:dyDescent="0.35"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</row>
    <row r="1045" spans="4:21" ht="12.75" customHeight="1" x14ac:dyDescent="0.35"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</row>
    <row r="1046" spans="4:21" ht="12.75" customHeight="1" x14ac:dyDescent="0.35"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</row>
    <row r="1047" spans="4:21" ht="12.75" customHeight="1" x14ac:dyDescent="0.35"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</row>
    <row r="1048" spans="4:21" ht="12.75" customHeight="1" x14ac:dyDescent="0.35"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</row>
    <row r="1049" spans="4:21" ht="12.75" customHeight="1" x14ac:dyDescent="0.35"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</row>
    <row r="1050" spans="4:21" ht="12.75" customHeight="1" x14ac:dyDescent="0.35"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</row>
    <row r="1051" spans="4:21" ht="12.75" customHeight="1" x14ac:dyDescent="0.35"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</row>
    <row r="1052" spans="4:21" ht="12.75" customHeight="1" x14ac:dyDescent="0.35"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</sheetPr>
  <dimension ref="A2:U15"/>
  <sheetViews>
    <sheetView workbookViewId="0">
      <selection activeCell="E11" sqref="E11"/>
    </sheetView>
  </sheetViews>
  <sheetFormatPr defaultRowHeight="12.75" x14ac:dyDescent="0.35"/>
  <cols>
    <col min="2" max="2" width="10.3984375" bestFit="1" customWidth="1"/>
    <col min="3" max="3" width="17.1328125" bestFit="1" customWidth="1"/>
    <col min="5" max="5" width="12.33203125" bestFit="1" customWidth="1"/>
  </cols>
  <sheetData>
    <row r="2" spans="1:21" x14ac:dyDescent="0.35">
      <c r="A2" s="2" t="s">
        <v>0</v>
      </c>
      <c r="B2" s="2" t="s">
        <v>1</v>
      </c>
      <c r="C2" s="1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x14ac:dyDescent="0.35">
      <c r="A3" s="1"/>
      <c r="B3" s="1" t="s">
        <v>120</v>
      </c>
      <c r="C3" s="1" t="s">
        <v>264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x14ac:dyDescent="0.35">
      <c r="A4" s="1" t="s">
        <v>3</v>
      </c>
      <c r="B4" s="1" t="s">
        <v>265</v>
      </c>
      <c r="C4" s="1" t="s">
        <v>160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x14ac:dyDescent="0.35">
      <c r="A5" s="1"/>
      <c r="B5" s="1" t="s">
        <v>265</v>
      </c>
      <c r="C5" s="1" t="s">
        <v>6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35">
      <c r="A6" s="4" t="s">
        <v>0</v>
      </c>
      <c r="B6" s="4" t="s">
        <v>11</v>
      </c>
      <c r="C6" s="1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8" spans="1:21" x14ac:dyDescent="0.35">
      <c r="A8" s="2" t="s">
        <v>266</v>
      </c>
      <c r="B8" s="2" t="s">
        <v>1</v>
      </c>
      <c r="C8" s="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35">
      <c r="A9" s="1" t="s">
        <v>3</v>
      </c>
      <c r="B9" s="1" t="s">
        <v>267</v>
      </c>
      <c r="C9" s="22" t="s">
        <v>268</v>
      </c>
      <c r="D9" s="9" t="s">
        <v>269</v>
      </c>
      <c r="E9" s="1" t="s">
        <v>102</v>
      </c>
      <c r="F9" s="21" t="s">
        <v>270</v>
      </c>
      <c r="G9" s="2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x14ac:dyDescent="0.35">
      <c r="A10" s="1"/>
      <c r="B10" s="1" t="s">
        <v>271</v>
      </c>
      <c r="C10" s="22" t="s">
        <v>272</v>
      </c>
      <c r="D10" s="19">
        <v>0.7</v>
      </c>
      <c r="E10" s="20">
        <v>100000000</v>
      </c>
      <c r="F10" s="21" t="s">
        <v>273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x14ac:dyDescent="0.35">
      <c r="A11" s="1" t="s">
        <v>3</v>
      </c>
      <c r="B11" s="1" t="s">
        <v>267</v>
      </c>
      <c r="C11" s="22" t="s">
        <v>319</v>
      </c>
      <c r="D11" s="22" t="s">
        <v>320</v>
      </c>
      <c r="E11" s="20" t="s">
        <v>321</v>
      </c>
      <c r="F11" s="21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35">
      <c r="A12" s="1"/>
      <c r="B12" s="1" t="s">
        <v>318</v>
      </c>
      <c r="C12" s="1" t="s">
        <v>124</v>
      </c>
      <c r="D12" s="19"/>
      <c r="E12" s="20"/>
      <c r="F12" s="21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35">
      <c r="A13" s="1" t="s">
        <v>3</v>
      </c>
      <c r="B13" s="1" t="s">
        <v>267</v>
      </c>
      <c r="C13" s="22" t="s">
        <v>274</v>
      </c>
      <c r="D13" s="21" t="s">
        <v>275</v>
      </c>
      <c r="E13" s="22" t="s">
        <v>276</v>
      </c>
      <c r="F13" s="21" t="s">
        <v>277</v>
      </c>
      <c r="G13" s="21" t="s">
        <v>278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35">
      <c r="A14" s="1"/>
      <c r="B14" s="1" t="s">
        <v>271</v>
      </c>
      <c r="C14" s="22" t="s">
        <v>279</v>
      </c>
      <c r="D14" s="9">
        <v>10</v>
      </c>
      <c r="E14" s="1">
        <v>1</v>
      </c>
      <c r="F14" s="23">
        <v>0.5</v>
      </c>
      <c r="G14" s="21">
        <v>2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35">
      <c r="A15" s="4" t="s">
        <v>266</v>
      </c>
      <c r="B15" s="4" t="s">
        <v>11</v>
      </c>
      <c r="C15" s="1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</sheetData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2:AA9"/>
  <sheetViews>
    <sheetView workbookViewId="0">
      <selection activeCell="C8" sqref="C7:D8"/>
    </sheetView>
  </sheetViews>
  <sheetFormatPr defaultRowHeight="12.75" x14ac:dyDescent="0.35"/>
  <cols>
    <col min="2" max="2" width="15.06640625" bestFit="1" customWidth="1"/>
  </cols>
  <sheetData>
    <row r="2" spans="1:27" x14ac:dyDescent="0.35">
      <c r="A2" s="2" t="s">
        <v>0</v>
      </c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5">
      <c r="A3" s="1"/>
      <c r="B3" s="1" t="s">
        <v>120</v>
      </c>
      <c r="C3" s="1" t="s">
        <v>280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5">
      <c r="A4" s="4" t="s">
        <v>0</v>
      </c>
      <c r="B4" s="4" t="s">
        <v>11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5">
      <c r="A6" s="2" t="s">
        <v>281</v>
      </c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s="1" t="s">
        <v>3</v>
      </c>
      <c r="B7" s="1" t="s">
        <v>282</v>
      </c>
      <c r="C7" s="1" t="s">
        <v>283</v>
      </c>
      <c r="D7" s="3" t="s">
        <v>284</v>
      </c>
      <c r="E7" s="1"/>
      <c r="F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5">
      <c r="A8" s="1"/>
      <c r="B8" s="1" t="s">
        <v>285</v>
      </c>
      <c r="C8" s="1">
        <v>2.4700000000000002</v>
      </c>
      <c r="D8" s="1" t="s">
        <v>101</v>
      </c>
      <c r="E8" s="1"/>
      <c r="F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5">
      <c r="A9" s="4" t="s">
        <v>281</v>
      </c>
      <c r="B9" s="4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</sheetData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3C47D"/>
    <outlinePr summaryBelow="0" summaryRight="0"/>
  </sheetPr>
  <dimension ref="A1:AF1025"/>
  <sheetViews>
    <sheetView topLeftCell="R75" workbookViewId="0">
      <selection activeCell="D86" sqref="D86"/>
    </sheetView>
  </sheetViews>
  <sheetFormatPr defaultColWidth="12.59765625" defaultRowHeight="15.75" customHeight="1" x14ac:dyDescent="0.35"/>
  <cols>
    <col min="2" max="2" width="14.86328125" customWidth="1"/>
    <col min="3" max="3" width="13.73046875" customWidth="1"/>
    <col min="18" max="18" width="16.59765625" customWidth="1"/>
  </cols>
  <sheetData>
    <row r="1" spans="1:32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x14ac:dyDescent="0.35">
      <c r="A2" s="12" t="s">
        <v>0</v>
      </c>
      <c r="B2" s="12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x14ac:dyDescent="0.35">
      <c r="A3" s="5"/>
      <c r="B3" s="5" t="s">
        <v>120</v>
      </c>
      <c r="C3" s="5" t="s">
        <v>286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x14ac:dyDescent="0.35">
      <c r="A4" s="5"/>
      <c r="B4" s="5" t="s">
        <v>16</v>
      </c>
      <c r="C4" s="5" t="s">
        <v>287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x14ac:dyDescent="0.35">
      <c r="A5" s="5"/>
      <c r="B5" s="5" t="s">
        <v>288</v>
      </c>
      <c r="C5" s="13">
        <v>1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x14ac:dyDescent="0.35">
      <c r="A6" s="5"/>
      <c r="B6" s="5" t="s">
        <v>289</v>
      </c>
      <c r="C6" s="5" t="s">
        <v>290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x14ac:dyDescent="0.35">
      <c r="A7" s="5"/>
      <c r="B7" s="5" t="s">
        <v>291</v>
      </c>
      <c r="C7" s="13">
        <v>10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x14ac:dyDescent="0.35">
      <c r="A8" s="14" t="s">
        <v>0</v>
      </c>
      <c r="B8" s="14" t="s">
        <v>11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35">
      <c r="A11" s="12" t="s">
        <v>292</v>
      </c>
      <c r="B11" s="12" t="s">
        <v>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x14ac:dyDescent="0.35">
      <c r="A12" s="5" t="s">
        <v>3</v>
      </c>
      <c r="B12" s="5" t="s">
        <v>78</v>
      </c>
      <c r="C12" s="5" t="s">
        <v>165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x14ac:dyDescent="0.35">
      <c r="A13" s="5"/>
      <c r="B13" s="5" t="s">
        <v>78</v>
      </c>
      <c r="C13" s="5" t="s">
        <v>84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x14ac:dyDescent="0.35">
      <c r="A14" s="5" t="s">
        <v>3</v>
      </c>
      <c r="B14" s="5" t="s">
        <v>150</v>
      </c>
      <c r="C14" s="5" t="s">
        <v>293</v>
      </c>
      <c r="D14" s="5" t="s">
        <v>294</v>
      </c>
      <c r="E14" s="7" t="s">
        <v>295</v>
      </c>
      <c r="F14" s="5" t="s">
        <v>212</v>
      </c>
      <c r="G14" s="5" t="s">
        <v>212</v>
      </c>
      <c r="H14" s="7"/>
      <c r="I14" s="5" t="s">
        <v>296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x14ac:dyDescent="0.35">
      <c r="A15" s="5"/>
      <c r="B15" s="13">
        <v>2025</v>
      </c>
      <c r="C15" s="5" t="s">
        <v>35</v>
      </c>
      <c r="D15" s="5">
        <v>154.18</v>
      </c>
      <c r="E15" s="5" t="s">
        <v>38</v>
      </c>
      <c r="F15" s="5" t="s">
        <v>43</v>
      </c>
      <c r="G15" s="7">
        <v>78</v>
      </c>
      <c r="H15" s="5" t="s">
        <v>44</v>
      </c>
      <c r="I15" s="5" t="s">
        <v>46</v>
      </c>
      <c r="J15" s="5">
        <v>111</v>
      </c>
      <c r="K15" s="5" t="s">
        <v>44</v>
      </c>
      <c r="L15" s="5" t="s">
        <v>48</v>
      </c>
      <c r="M15" s="5">
        <v>84</v>
      </c>
      <c r="N15" s="5" t="s">
        <v>44</v>
      </c>
      <c r="O15" s="5" t="s">
        <v>50</v>
      </c>
      <c r="P15" s="5">
        <v>143</v>
      </c>
      <c r="Q15" s="5" t="s">
        <v>44</v>
      </c>
      <c r="R15" s="5" t="s">
        <v>52</v>
      </c>
      <c r="S15" s="7">
        <v>84.9</v>
      </c>
      <c r="T15" s="5" t="s">
        <v>53</v>
      </c>
      <c r="U15" s="5" t="s">
        <v>57</v>
      </c>
      <c r="V15" s="5">
        <v>94.7</v>
      </c>
      <c r="W15" s="5" t="s">
        <v>53</v>
      </c>
      <c r="X15" s="5" t="s">
        <v>59</v>
      </c>
      <c r="Y15" s="5">
        <v>12.5</v>
      </c>
      <c r="Z15" s="5" t="s">
        <v>53</v>
      </c>
      <c r="AA15" s="5" t="s">
        <v>61</v>
      </c>
      <c r="AB15" s="5">
        <v>34.299999999999997</v>
      </c>
      <c r="AC15" s="5" t="s">
        <v>53</v>
      </c>
      <c r="AD15" s="1" t="s">
        <v>65</v>
      </c>
      <c r="AE15" s="5">
        <v>40.49</v>
      </c>
      <c r="AF15" s="5" t="s">
        <v>38</v>
      </c>
    </row>
    <row r="16" spans="1:32" x14ac:dyDescent="0.35">
      <c r="A16" s="5"/>
      <c r="B16" s="13">
        <v>2026</v>
      </c>
      <c r="C16" s="5" t="s">
        <v>35</v>
      </c>
      <c r="D16" s="5" t="s">
        <v>297</v>
      </c>
      <c r="E16" s="5" t="s">
        <v>38</v>
      </c>
      <c r="F16" s="5" t="s">
        <v>43</v>
      </c>
      <c r="G16" s="7">
        <v>80</v>
      </c>
      <c r="H16" s="5" t="s">
        <v>44</v>
      </c>
      <c r="I16" s="5" t="s">
        <v>46</v>
      </c>
      <c r="J16" s="5">
        <v>106</v>
      </c>
      <c r="K16" s="5" t="s">
        <v>44</v>
      </c>
      <c r="L16" s="5" t="s">
        <v>48</v>
      </c>
      <c r="M16" s="5">
        <v>84</v>
      </c>
      <c r="N16" s="5" t="s">
        <v>44</v>
      </c>
      <c r="O16" s="5" t="s">
        <v>50</v>
      </c>
      <c r="P16" s="5">
        <v>140</v>
      </c>
      <c r="Q16" s="5" t="s">
        <v>44</v>
      </c>
      <c r="R16" s="5" t="s">
        <v>52</v>
      </c>
      <c r="S16" s="5" t="s">
        <v>297</v>
      </c>
      <c r="T16" s="5" t="s">
        <v>53</v>
      </c>
      <c r="U16" s="5" t="s">
        <v>57</v>
      </c>
      <c r="V16" s="5" t="s">
        <v>297</v>
      </c>
      <c r="W16" s="5" t="s">
        <v>53</v>
      </c>
      <c r="X16" s="5" t="s">
        <v>59</v>
      </c>
      <c r="Y16" s="5" t="s">
        <v>297</v>
      </c>
      <c r="Z16" s="5" t="s">
        <v>53</v>
      </c>
      <c r="AA16" s="5" t="s">
        <v>61</v>
      </c>
      <c r="AB16" s="5" t="s">
        <v>297</v>
      </c>
      <c r="AC16" s="5" t="s">
        <v>53</v>
      </c>
      <c r="AD16" s="1" t="s">
        <v>65</v>
      </c>
      <c r="AE16" s="5" t="s">
        <v>297</v>
      </c>
      <c r="AF16" s="5" t="s">
        <v>38</v>
      </c>
    </row>
    <row r="17" spans="1:32" x14ac:dyDescent="0.35">
      <c r="A17" s="5"/>
      <c r="B17" s="13">
        <v>2027</v>
      </c>
      <c r="C17" s="5" t="s">
        <v>35</v>
      </c>
      <c r="D17" s="5" t="s">
        <v>297</v>
      </c>
      <c r="E17" s="5" t="s">
        <v>38</v>
      </c>
      <c r="F17" s="5" t="s">
        <v>43</v>
      </c>
      <c r="G17" s="7">
        <v>80</v>
      </c>
      <c r="H17" s="5" t="s">
        <v>44</v>
      </c>
      <c r="I17" s="5" t="s">
        <v>46</v>
      </c>
      <c r="J17" s="5">
        <v>105</v>
      </c>
      <c r="K17" s="5" t="s">
        <v>44</v>
      </c>
      <c r="L17" s="5" t="s">
        <v>48</v>
      </c>
      <c r="M17" s="5">
        <v>86</v>
      </c>
      <c r="N17" s="5" t="s">
        <v>44</v>
      </c>
      <c r="O17" s="5" t="s">
        <v>50</v>
      </c>
      <c r="P17" s="5">
        <v>140</v>
      </c>
      <c r="Q17" s="5" t="s">
        <v>44</v>
      </c>
      <c r="R17" s="5" t="s">
        <v>52</v>
      </c>
      <c r="S17" s="5" t="s">
        <v>297</v>
      </c>
      <c r="T17" s="5" t="s">
        <v>53</v>
      </c>
      <c r="U17" s="5" t="s">
        <v>57</v>
      </c>
      <c r="V17" s="5" t="s">
        <v>297</v>
      </c>
      <c r="W17" s="5" t="s">
        <v>53</v>
      </c>
      <c r="X17" s="5" t="s">
        <v>59</v>
      </c>
      <c r="Y17" s="5" t="s">
        <v>297</v>
      </c>
      <c r="Z17" s="5" t="s">
        <v>53</v>
      </c>
      <c r="AA17" s="5" t="s">
        <v>61</v>
      </c>
      <c r="AB17" s="5" t="s">
        <v>297</v>
      </c>
      <c r="AC17" s="5" t="s">
        <v>53</v>
      </c>
      <c r="AD17" s="1" t="s">
        <v>65</v>
      </c>
      <c r="AE17" s="5" t="s">
        <v>297</v>
      </c>
      <c r="AF17" s="5" t="s">
        <v>38</v>
      </c>
    </row>
    <row r="18" spans="1:32" x14ac:dyDescent="0.35">
      <c r="A18" s="5"/>
      <c r="B18" s="13">
        <v>2028</v>
      </c>
      <c r="C18" s="5" t="s">
        <v>35</v>
      </c>
      <c r="D18" s="5" t="s">
        <v>297</v>
      </c>
      <c r="E18" s="5" t="s">
        <v>38</v>
      </c>
      <c r="F18" s="5" t="s">
        <v>43</v>
      </c>
      <c r="G18" s="7">
        <v>80</v>
      </c>
      <c r="H18" s="5" t="s">
        <v>44</v>
      </c>
      <c r="I18" s="5" t="s">
        <v>46</v>
      </c>
      <c r="J18" s="5">
        <v>103</v>
      </c>
      <c r="K18" s="5" t="s">
        <v>44</v>
      </c>
      <c r="L18" s="5" t="s">
        <v>48</v>
      </c>
      <c r="M18" s="5">
        <v>89</v>
      </c>
      <c r="N18" s="5" t="s">
        <v>44</v>
      </c>
      <c r="O18" s="5" t="s">
        <v>50</v>
      </c>
      <c r="P18" s="5">
        <v>141</v>
      </c>
      <c r="Q18" s="5" t="s">
        <v>44</v>
      </c>
      <c r="R18" s="5" t="s">
        <v>52</v>
      </c>
      <c r="S18" s="5" t="s">
        <v>297</v>
      </c>
      <c r="T18" s="5" t="s">
        <v>53</v>
      </c>
      <c r="U18" s="5" t="s">
        <v>57</v>
      </c>
      <c r="V18" s="5" t="s">
        <v>297</v>
      </c>
      <c r="W18" s="5" t="s">
        <v>53</v>
      </c>
      <c r="X18" s="5" t="s">
        <v>59</v>
      </c>
      <c r="Y18" s="5" t="s">
        <v>297</v>
      </c>
      <c r="Z18" s="5" t="s">
        <v>53</v>
      </c>
      <c r="AA18" s="5" t="s">
        <v>61</v>
      </c>
      <c r="AB18" s="5" t="s">
        <v>297</v>
      </c>
      <c r="AC18" s="5" t="s">
        <v>53</v>
      </c>
      <c r="AD18" s="1" t="s">
        <v>65</v>
      </c>
      <c r="AE18" s="5" t="s">
        <v>297</v>
      </c>
      <c r="AF18" s="5" t="s">
        <v>38</v>
      </c>
    </row>
    <row r="19" spans="1:32" x14ac:dyDescent="0.35">
      <c r="A19" s="5"/>
      <c r="B19" s="13">
        <v>2029</v>
      </c>
      <c r="C19" s="5" t="s">
        <v>35</v>
      </c>
      <c r="D19" s="5" t="s">
        <v>297</v>
      </c>
      <c r="E19" s="5" t="s">
        <v>38</v>
      </c>
      <c r="F19" s="5" t="s">
        <v>43</v>
      </c>
      <c r="G19" s="7">
        <v>80</v>
      </c>
      <c r="H19" s="5" t="s">
        <v>44</v>
      </c>
      <c r="I19" s="5" t="s">
        <v>46</v>
      </c>
      <c r="J19" s="5">
        <v>103</v>
      </c>
      <c r="K19" s="5" t="s">
        <v>44</v>
      </c>
      <c r="L19" s="5" t="s">
        <v>48</v>
      </c>
      <c r="M19" s="5">
        <v>93</v>
      </c>
      <c r="N19" s="5" t="s">
        <v>44</v>
      </c>
      <c r="O19" s="5" t="s">
        <v>50</v>
      </c>
      <c r="P19" s="5">
        <v>143</v>
      </c>
      <c r="Q19" s="5" t="s">
        <v>44</v>
      </c>
      <c r="R19" s="5" t="s">
        <v>52</v>
      </c>
      <c r="S19" s="5" t="s">
        <v>297</v>
      </c>
      <c r="T19" s="5" t="s">
        <v>53</v>
      </c>
      <c r="U19" s="5" t="s">
        <v>57</v>
      </c>
      <c r="V19" s="5" t="s">
        <v>297</v>
      </c>
      <c r="W19" s="5" t="s">
        <v>53</v>
      </c>
      <c r="X19" s="5" t="s">
        <v>59</v>
      </c>
      <c r="Y19" s="5" t="s">
        <v>297</v>
      </c>
      <c r="Z19" s="5" t="s">
        <v>53</v>
      </c>
      <c r="AA19" s="5" t="s">
        <v>61</v>
      </c>
      <c r="AB19" s="5" t="s">
        <v>297</v>
      </c>
      <c r="AC19" s="5" t="s">
        <v>53</v>
      </c>
      <c r="AD19" s="1" t="s">
        <v>65</v>
      </c>
      <c r="AE19" s="5" t="s">
        <v>297</v>
      </c>
      <c r="AF19" s="5" t="s">
        <v>38</v>
      </c>
    </row>
    <row r="20" spans="1:32" x14ac:dyDescent="0.35">
      <c r="A20" s="5"/>
      <c r="B20" s="13">
        <v>2030</v>
      </c>
      <c r="C20" s="5" t="s">
        <v>35</v>
      </c>
      <c r="D20" s="5">
        <v>154.18</v>
      </c>
      <c r="E20" s="5" t="s">
        <v>38</v>
      </c>
      <c r="F20" s="5" t="s">
        <v>43</v>
      </c>
      <c r="G20" s="7">
        <v>82</v>
      </c>
      <c r="H20" s="5" t="s">
        <v>44</v>
      </c>
      <c r="I20" s="5" t="s">
        <v>46</v>
      </c>
      <c r="J20" s="5">
        <v>102</v>
      </c>
      <c r="K20" s="5" t="s">
        <v>44</v>
      </c>
      <c r="L20" s="5" t="s">
        <v>48</v>
      </c>
      <c r="M20" s="5">
        <v>95</v>
      </c>
      <c r="N20" s="5" t="s">
        <v>44</v>
      </c>
      <c r="O20" s="5" t="s">
        <v>50</v>
      </c>
      <c r="P20" s="5">
        <v>143</v>
      </c>
      <c r="Q20" s="5" t="s">
        <v>44</v>
      </c>
      <c r="R20" s="5" t="s">
        <v>52</v>
      </c>
      <c r="S20" s="5">
        <v>73.8</v>
      </c>
      <c r="T20" s="5" t="s">
        <v>53</v>
      </c>
      <c r="U20" s="5" t="s">
        <v>57</v>
      </c>
      <c r="V20" s="5">
        <v>91.4</v>
      </c>
      <c r="W20" s="5" t="s">
        <v>53</v>
      </c>
      <c r="X20" s="5" t="s">
        <v>59</v>
      </c>
      <c r="Y20" s="5">
        <v>11.7</v>
      </c>
      <c r="Z20" s="5" t="s">
        <v>53</v>
      </c>
      <c r="AA20" s="5" t="s">
        <v>61</v>
      </c>
      <c r="AB20" s="5">
        <v>34.6</v>
      </c>
      <c r="AC20" s="5" t="s">
        <v>53</v>
      </c>
      <c r="AD20" s="1" t="s">
        <v>65</v>
      </c>
      <c r="AE20" s="29">
        <v>46.16</v>
      </c>
      <c r="AF20" s="5" t="s">
        <v>38</v>
      </c>
    </row>
    <row r="21" spans="1:32" x14ac:dyDescent="0.35">
      <c r="A21" s="5"/>
      <c r="B21" s="13">
        <v>2031</v>
      </c>
      <c r="C21" s="5" t="s">
        <v>35</v>
      </c>
      <c r="D21" s="5" t="s">
        <v>297</v>
      </c>
      <c r="E21" s="5" t="s">
        <v>38</v>
      </c>
      <c r="F21" s="5" t="s">
        <v>43</v>
      </c>
      <c r="G21" s="7">
        <v>84</v>
      </c>
      <c r="H21" s="5" t="s">
        <v>44</v>
      </c>
      <c r="I21" s="5" t="s">
        <v>46</v>
      </c>
      <c r="J21" s="5">
        <v>103</v>
      </c>
      <c r="K21" s="5" t="s">
        <v>44</v>
      </c>
      <c r="L21" s="5" t="s">
        <v>48</v>
      </c>
      <c r="M21" s="5">
        <v>97</v>
      </c>
      <c r="N21" s="5" t="s">
        <v>44</v>
      </c>
      <c r="O21" s="5" t="s">
        <v>50</v>
      </c>
      <c r="P21" s="5">
        <v>145</v>
      </c>
      <c r="Q21" s="5" t="s">
        <v>44</v>
      </c>
      <c r="R21" s="5" t="s">
        <v>52</v>
      </c>
      <c r="S21" s="5" t="s">
        <v>297</v>
      </c>
      <c r="T21" s="5" t="s">
        <v>53</v>
      </c>
      <c r="U21" s="5" t="s">
        <v>57</v>
      </c>
      <c r="V21" s="5" t="s">
        <v>297</v>
      </c>
      <c r="W21" s="5" t="s">
        <v>53</v>
      </c>
      <c r="X21" s="5" t="s">
        <v>59</v>
      </c>
      <c r="Y21" s="5" t="s">
        <v>297</v>
      </c>
      <c r="Z21" s="5" t="s">
        <v>53</v>
      </c>
      <c r="AA21" s="5" t="s">
        <v>61</v>
      </c>
      <c r="AB21" s="5" t="s">
        <v>297</v>
      </c>
      <c r="AC21" s="5" t="s">
        <v>53</v>
      </c>
      <c r="AD21" s="1" t="s">
        <v>65</v>
      </c>
      <c r="AE21" s="5" t="s">
        <v>297</v>
      </c>
      <c r="AF21" s="5" t="s">
        <v>38</v>
      </c>
    </row>
    <row r="22" spans="1:32" x14ac:dyDescent="0.35">
      <c r="A22" s="5"/>
      <c r="B22" s="13">
        <v>2032</v>
      </c>
      <c r="C22" s="5" t="s">
        <v>35</v>
      </c>
      <c r="D22" s="5" t="s">
        <v>297</v>
      </c>
      <c r="E22" s="5" t="s">
        <v>38</v>
      </c>
      <c r="F22" s="5" t="s">
        <v>43</v>
      </c>
      <c r="G22" s="7">
        <v>87</v>
      </c>
      <c r="H22" s="5" t="s">
        <v>44</v>
      </c>
      <c r="I22" s="5" t="s">
        <v>46</v>
      </c>
      <c r="J22" s="5">
        <v>102</v>
      </c>
      <c r="K22" s="5" t="s">
        <v>44</v>
      </c>
      <c r="L22" s="5" t="s">
        <v>48</v>
      </c>
      <c r="M22" s="5">
        <v>96</v>
      </c>
      <c r="N22" s="5" t="s">
        <v>44</v>
      </c>
      <c r="O22" s="5" t="s">
        <v>50</v>
      </c>
      <c r="P22" s="5">
        <v>144</v>
      </c>
      <c r="Q22" s="5" t="s">
        <v>44</v>
      </c>
      <c r="R22" s="5" t="s">
        <v>52</v>
      </c>
      <c r="S22" s="5" t="s">
        <v>297</v>
      </c>
      <c r="T22" s="5" t="s">
        <v>53</v>
      </c>
      <c r="U22" s="5" t="s">
        <v>57</v>
      </c>
      <c r="V22" s="5" t="s">
        <v>297</v>
      </c>
      <c r="W22" s="5" t="s">
        <v>53</v>
      </c>
      <c r="X22" s="5" t="s">
        <v>59</v>
      </c>
      <c r="Y22" s="5" t="s">
        <v>297</v>
      </c>
      <c r="Z22" s="5" t="s">
        <v>53</v>
      </c>
      <c r="AA22" s="5" t="s">
        <v>61</v>
      </c>
      <c r="AB22" s="5" t="s">
        <v>297</v>
      </c>
      <c r="AC22" s="5" t="s">
        <v>53</v>
      </c>
      <c r="AD22" s="1" t="s">
        <v>65</v>
      </c>
      <c r="AE22" s="5" t="s">
        <v>297</v>
      </c>
      <c r="AF22" s="5" t="s">
        <v>38</v>
      </c>
    </row>
    <row r="23" spans="1:32" x14ac:dyDescent="0.35">
      <c r="A23" s="5"/>
      <c r="B23" s="13">
        <v>2033</v>
      </c>
      <c r="C23" s="5" t="s">
        <v>35</v>
      </c>
      <c r="D23" s="5" t="s">
        <v>297</v>
      </c>
      <c r="E23" s="5" t="s">
        <v>38</v>
      </c>
      <c r="F23" s="5" t="s">
        <v>43</v>
      </c>
      <c r="G23" s="7">
        <v>91</v>
      </c>
      <c r="H23" s="5" t="s">
        <v>44</v>
      </c>
      <c r="I23" s="5" t="s">
        <v>46</v>
      </c>
      <c r="J23" s="5">
        <v>101</v>
      </c>
      <c r="K23" s="5" t="s">
        <v>44</v>
      </c>
      <c r="L23" s="5" t="s">
        <v>48</v>
      </c>
      <c r="M23" s="5">
        <v>97</v>
      </c>
      <c r="N23" s="5" t="s">
        <v>44</v>
      </c>
      <c r="O23" s="5" t="s">
        <v>50</v>
      </c>
      <c r="P23" s="5">
        <v>144</v>
      </c>
      <c r="Q23" s="5" t="s">
        <v>44</v>
      </c>
      <c r="R23" s="5" t="s">
        <v>52</v>
      </c>
      <c r="S23" s="5" t="s">
        <v>297</v>
      </c>
      <c r="T23" s="5" t="s">
        <v>53</v>
      </c>
      <c r="U23" s="5" t="s">
        <v>57</v>
      </c>
      <c r="V23" s="5" t="s">
        <v>297</v>
      </c>
      <c r="W23" s="5" t="s">
        <v>53</v>
      </c>
      <c r="X23" s="5" t="s">
        <v>59</v>
      </c>
      <c r="Y23" s="5" t="s">
        <v>297</v>
      </c>
      <c r="Z23" s="5" t="s">
        <v>53</v>
      </c>
      <c r="AA23" s="5" t="s">
        <v>61</v>
      </c>
      <c r="AB23" s="5" t="s">
        <v>297</v>
      </c>
      <c r="AC23" s="5" t="s">
        <v>53</v>
      </c>
      <c r="AD23" s="1" t="s">
        <v>65</v>
      </c>
      <c r="AE23" s="5" t="s">
        <v>297</v>
      </c>
      <c r="AF23" s="5" t="s">
        <v>38</v>
      </c>
    </row>
    <row r="24" spans="1:32" x14ac:dyDescent="0.35">
      <c r="A24" s="5"/>
      <c r="B24" s="13">
        <v>2034</v>
      </c>
      <c r="C24" s="5" t="s">
        <v>35</v>
      </c>
      <c r="D24" s="5" t="s">
        <v>297</v>
      </c>
      <c r="E24" s="5" t="s">
        <v>38</v>
      </c>
      <c r="F24" s="5" t="s">
        <v>43</v>
      </c>
      <c r="G24" s="7">
        <v>94</v>
      </c>
      <c r="H24" s="5" t="s">
        <v>44</v>
      </c>
      <c r="I24" s="5" t="s">
        <v>46</v>
      </c>
      <c r="J24" s="5">
        <v>102</v>
      </c>
      <c r="K24" s="5" t="s">
        <v>44</v>
      </c>
      <c r="L24" s="5" t="s">
        <v>48</v>
      </c>
      <c r="M24" s="5">
        <v>98</v>
      </c>
      <c r="N24" s="5" t="s">
        <v>44</v>
      </c>
      <c r="O24" s="5" t="s">
        <v>50</v>
      </c>
      <c r="P24" s="5">
        <v>146</v>
      </c>
      <c r="Q24" s="5" t="s">
        <v>44</v>
      </c>
      <c r="R24" s="5" t="s">
        <v>52</v>
      </c>
      <c r="S24" s="5" t="s">
        <v>297</v>
      </c>
      <c r="T24" s="5" t="s">
        <v>53</v>
      </c>
      <c r="U24" s="5" t="s">
        <v>57</v>
      </c>
      <c r="V24" s="5" t="s">
        <v>297</v>
      </c>
      <c r="W24" s="5" t="s">
        <v>53</v>
      </c>
      <c r="X24" s="5" t="s">
        <v>59</v>
      </c>
      <c r="Y24" s="5" t="s">
        <v>297</v>
      </c>
      <c r="Z24" s="5" t="s">
        <v>53</v>
      </c>
      <c r="AA24" s="5" t="s">
        <v>61</v>
      </c>
      <c r="AB24" s="5" t="s">
        <v>297</v>
      </c>
      <c r="AC24" s="5" t="s">
        <v>53</v>
      </c>
      <c r="AD24" s="1" t="s">
        <v>65</v>
      </c>
      <c r="AE24" s="5" t="s">
        <v>297</v>
      </c>
      <c r="AF24" s="5" t="s">
        <v>38</v>
      </c>
    </row>
    <row r="25" spans="1:32" x14ac:dyDescent="0.35">
      <c r="A25" s="5"/>
      <c r="B25" s="13">
        <v>2035</v>
      </c>
      <c r="C25" s="5" t="s">
        <v>35</v>
      </c>
      <c r="D25" s="5">
        <v>160.45393999999999</v>
      </c>
      <c r="E25" s="5" t="s">
        <v>38</v>
      </c>
      <c r="F25" s="5" t="s">
        <v>43</v>
      </c>
      <c r="G25" s="7">
        <v>96</v>
      </c>
      <c r="H25" s="5" t="s">
        <v>44</v>
      </c>
      <c r="I25" s="5" t="s">
        <v>46</v>
      </c>
      <c r="J25" s="5">
        <v>102</v>
      </c>
      <c r="K25" s="5" t="s">
        <v>44</v>
      </c>
      <c r="L25" s="5" t="s">
        <v>48</v>
      </c>
      <c r="M25" s="5">
        <v>99</v>
      </c>
      <c r="N25" s="5" t="s">
        <v>44</v>
      </c>
      <c r="O25" s="5" t="s">
        <v>50</v>
      </c>
      <c r="P25" s="5">
        <v>149</v>
      </c>
      <c r="Q25" s="5" t="s">
        <v>44</v>
      </c>
      <c r="R25" s="5" t="s">
        <v>52</v>
      </c>
      <c r="S25" s="5">
        <v>63</v>
      </c>
      <c r="T25" s="5" t="s">
        <v>53</v>
      </c>
      <c r="U25" s="5" t="s">
        <v>57</v>
      </c>
      <c r="V25" s="5">
        <v>88.2</v>
      </c>
      <c r="W25" s="5" t="s">
        <v>53</v>
      </c>
      <c r="X25" s="5" t="s">
        <v>59</v>
      </c>
      <c r="Y25" s="5">
        <v>12</v>
      </c>
      <c r="Z25" s="5" t="s">
        <v>53</v>
      </c>
      <c r="AA25" s="5" t="s">
        <v>61</v>
      </c>
      <c r="AB25" s="5">
        <v>34.9</v>
      </c>
      <c r="AC25" s="5" t="s">
        <v>53</v>
      </c>
      <c r="AD25" s="1" t="s">
        <v>65</v>
      </c>
      <c r="AE25" s="5" t="s">
        <v>297</v>
      </c>
      <c r="AF25" s="5" t="s">
        <v>38</v>
      </c>
    </row>
    <row r="26" spans="1:32" x14ac:dyDescent="0.35">
      <c r="A26" s="5"/>
      <c r="B26" s="13">
        <v>2036</v>
      </c>
      <c r="C26" s="5" t="s">
        <v>35</v>
      </c>
      <c r="D26" s="5" t="s">
        <v>297</v>
      </c>
      <c r="E26" s="5" t="s">
        <v>38</v>
      </c>
      <c r="F26" s="5" t="s">
        <v>43</v>
      </c>
      <c r="G26" s="7">
        <v>96</v>
      </c>
      <c r="H26" s="5" t="s">
        <v>44</v>
      </c>
      <c r="I26" s="5" t="s">
        <v>46</v>
      </c>
      <c r="J26" s="5">
        <v>102</v>
      </c>
      <c r="K26" s="5" t="s">
        <v>44</v>
      </c>
      <c r="L26" s="5" t="s">
        <v>48</v>
      </c>
      <c r="M26" s="5">
        <v>100</v>
      </c>
      <c r="N26" s="5" t="s">
        <v>44</v>
      </c>
      <c r="O26" s="5" t="s">
        <v>50</v>
      </c>
      <c r="P26" s="5">
        <v>150</v>
      </c>
      <c r="Q26" s="5" t="s">
        <v>44</v>
      </c>
      <c r="R26" s="5" t="s">
        <v>52</v>
      </c>
      <c r="S26" s="5" t="s">
        <v>297</v>
      </c>
      <c r="T26" s="5" t="s">
        <v>53</v>
      </c>
      <c r="U26" s="5" t="s">
        <v>57</v>
      </c>
      <c r="V26" s="5" t="s">
        <v>297</v>
      </c>
      <c r="W26" s="5" t="s">
        <v>53</v>
      </c>
      <c r="X26" s="5" t="s">
        <v>59</v>
      </c>
      <c r="Y26" s="5" t="s">
        <v>297</v>
      </c>
      <c r="Z26" s="5" t="s">
        <v>53</v>
      </c>
      <c r="AA26" s="5" t="s">
        <v>61</v>
      </c>
      <c r="AB26" s="5" t="s">
        <v>297</v>
      </c>
      <c r="AC26" s="5" t="s">
        <v>53</v>
      </c>
      <c r="AD26" s="1" t="s">
        <v>65</v>
      </c>
      <c r="AE26" s="5" t="s">
        <v>297</v>
      </c>
      <c r="AF26" s="5" t="s">
        <v>38</v>
      </c>
    </row>
    <row r="27" spans="1:32" x14ac:dyDescent="0.35">
      <c r="A27" s="5"/>
      <c r="B27" s="13">
        <v>2037</v>
      </c>
      <c r="C27" s="5" t="s">
        <v>35</v>
      </c>
      <c r="D27" s="5" t="s">
        <v>297</v>
      </c>
      <c r="E27" s="5" t="s">
        <v>38</v>
      </c>
      <c r="F27" s="5" t="s">
        <v>43</v>
      </c>
      <c r="G27" s="7">
        <v>97</v>
      </c>
      <c r="H27" s="5" t="s">
        <v>44</v>
      </c>
      <c r="I27" s="5" t="s">
        <v>46</v>
      </c>
      <c r="J27" s="5">
        <v>102</v>
      </c>
      <c r="K27" s="5" t="s">
        <v>44</v>
      </c>
      <c r="L27" s="5" t="s">
        <v>48</v>
      </c>
      <c r="M27" s="5">
        <v>102</v>
      </c>
      <c r="N27" s="5" t="s">
        <v>44</v>
      </c>
      <c r="O27" s="5" t="s">
        <v>50</v>
      </c>
      <c r="P27" s="5">
        <v>152</v>
      </c>
      <c r="Q27" s="5" t="s">
        <v>44</v>
      </c>
      <c r="R27" s="5" t="s">
        <v>52</v>
      </c>
      <c r="S27" s="5" t="s">
        <v>297</v>
      </c>
      <c r="T27" s="5" t="s">
        <v>53</v>
      </c>
      <c r="U27" s="5" t="s">
        <v>57</v>
      </c>
      <c r="V27" s="5" t="s">
        <v>297</v>
      </c>
      <c r="W27" s="5" t="s">
        <v>53</v>
      </c>
      <c r="X27" s="5" t="s">
        <v>59</v>
      </c>
      <c r="Y27" s="5" t="s">
        <v>297</v>
      </c>
      <c r="Z27" s="5" t="s">
        <v>53</v>
      </c>
      <c r="AA27" s="5" t="s">
        <v>61</v>
      </c>
      <c r="AB27" s="5" t="s">
        <v>297</v>
      </c>
      <c r="AC27" s="5" t="s">
        <v>53</v>
      </c>
      <c r="AD27" s="1" t="s">
        <v>65</v>
      </c>
      <c r="AE27" s="5" t="s">
        <v>297</v>
      </c>
      <c r="AF27" s="5" t="s">
        <v>38</v>
      </c>
    </row>
    <row r="28" spans="1:32" x14ac:dyDescent="0.35">
      <c r="A28" s="5"/>
      <c r="B28" s="13">
        <v>2038</v>
      </c>
      <c r="C28" s="5" t="s">
        <v>35</v>
      </c>
      <c r="D28" s="5" t="s">
        <v>297</v>
      </c>
      <c r="E28" s="5" t="s">
        <v>38</v>
      </c>
      <c r="F28" s="5" t="s">
        <v>43</v>
      </c>
      <c r="G28" s="7">
        <v>96</v>
      </c>
      <c r="H28" s="5" t="s">
        <v>44</v>
      </c>
      <c r="I28" s="5" t="s">
        <v>46</v>
      </c>
      <c r="J28" s="5">
        <v>98</v>
      </c>
      <c r="K28" s="5" t="s">
        <v>44</v>
      </c>
      <c r="L28" s="5" t="s">
        <v>48</v>
      </c>
      <c r="M28" s="5">
        <v>102</v>
      </c>
      <c r="N28" s="5" t="s">
        <v>44</v>
      </c>
      <c r="O28" s="5" t="s">
        <v>50</v>
      </c>
      <c r="P28" s="5">
        <v>151</v>
      </c>
      <c r="Q28" s="5" t="s">
        <v>44</v>
      </c>
      <c r="R28" s="5" t="s">
        <v>52</v>
      </c>
      <c r="S28" s="5" t="s">
        <v>297</v>
      </c>
      <c r="T28" s="5" t="s">
        <v>53</v>
      </c>
      <c r="U28" s="5" t="s">
        <v>57</v>
      </c>
      <c r="V28" s="5" t="s">
        <v>297</v>
      </c>
      <c r="W28" s="5" t="s">
        <v>53</v>
      </c>
      <c r="X28" s="5" t="s">
        <v>59</v>
      </c>
      <c r="Y28" s="5" t="s">
        <v>297</v>
      </c>
      <c r="Z28" s="5" t="s">
        <v>53</v>
      </c>
      <c r="AA28" s="5" t="s">
        <v>61</v>
      </c>
      <c r="AB28" s="5" t="s">
        <v>297</v>
      </c>
      <c r="AC28" s="5" t="s">
        <v>53</v>
      </c>
      <c r="AD28" s="1" t="s">
        <v>65</v>
      </c>
      <c r="AE28" s="5" t="s">
        <v>297</v>
      </c>
      <c r="AF28" s="5" t="s">
        <v>38</v>
      </c>
    </row>
    <row r="29" spans="1:32" x14ac:dyDescent="0.35">
      <c r="A29" s="5"/>
      <c r="B29" s="13">
        <v>2039</v>
      </c>
      <c r="C29" s="5" t="s">
        <v>35</v>
      </c>
      <c r="D29" s="5" t="s">
        <v>297</v>
      </c>
      <c r="E29" s="5" t="s">
        <v>38</v>
      </c>
      <c r="F29" s="5" t="s">
        <v>43</v>
      </c>
      <c r="G29" s="7">
        <v>96</v>
      </c>
      <c r="H29" s="5" t="s">
        <v>44</v>
      </c>
      <c r="I29" s="5" t="s">
        <v>46</v>
      </c>
      <c r="J29" s="5">
        <v>97</v>
      </c>
      <c r="K29" s="5" t="s">
        <v>44</v>
      </c>
      <c r="L29" s="5" t="s">
        <v>48</v>
      </c>
      <c r="M29" s="5">
        <v>103</v>
      </c>
      <c r="N29" s="5" t="s">
        <v>44</v>
      </c>
      <c r="O29" s="5" t="s">
        <v>50</v>
      </c>
      <c r="P29" s="5">
        <v>151</v>
      </c>
      <c r="Q29" s="5" t="s">
        <v>44</v>
      </c>
      <c r="R29" s="5" t="s">
        <v>52</v>
      </c>
      <c r="S29" s="5" t="s">
        <v>297</v>
      </c>
      <c r="T29" s="5" t="s">
        <v>53</v>
      </c>
      <c r="U29" s="5" t="s">
        <v>57</v>
      </c>
      <c r="V29" s="5" t="s">
        <v>297</v>
      </c>
      <c r="W29" s="5" t="s">
        <v>53</v>
      </c>
      <c r="X29" s="5" t="s">
        <v>59</v>
      </c>
      <c r="Y29" s="5" t="s">
        <v>297</v>
      </c>
      <c r="Z29" s="5" t="s">
        <v>53</v>
      </c>
      <c r="AA29" s="5" t="s">
        <v>61</v>
      </c>
      <c r="AB29" s="5" t="s">
        <v>297</v>
      </c>
      <c r="AC29" s="5" t="s">
        <v>53</v>
      </c>
      <c r="AD29" s="1" t="s">
        <v>65</v>
      </c>
      <c r="AE29" s="5" t="s">
        <v>297</v>
      </c>
      <c r="AF29" s="5" t="s">
        <v>38</v>
      </c>
    </row>
    <row r="30" spans="1:32" x14ac:dyDescent="0.35">
      <c r="A30" s="5"/>
      <c r="B30" s="13">
        <v>2040</v>
      </c>
      <c r="C30" s="5" t="s">
        <v>35</v>
      </c>
      <c r="D30" s="5">
        <v>160.45393999999999</v>
      </c>
      <c r="E30" s="5" t="s">
        <v>38</v>
      </c>
      <c r="F30" s="5" t="s">
        <v>43</v>
      </c>
      <c r="G30" s="7">
        <v>97</v>
      </c>
      <c r="H30" s="5" t="s">
        <v>44</v>
      </c>
      <c r="I30" s="5" t="s">
        <v>46</v>
      </c>
      <c r="J30" s="5">
        <v>95</v>
      </c>
      <c r="K30" s="5" t="s">
        <v>44</v>
      </c>
      <c r="L30" s="5" t="s">
        <v>48</v>
      </c>
      <c r="M30" s="5">
        <v>105</v>
      </c>
      <c r="N30" s="5" t="s">
        <v>44</v>
      </c>
      <c r="O30" s="5" t="s">
        <v>50</v>
      </c>
      <c r="P30" s="5">
        <v>153</v>
      </c>
      <c r="Q30" s="5" t="s">
        <v>44</v>
      </c>
      <c r="R30" s="5" t="s">
        <v>52</v>
      </c>
      <c r="S30" s="5">
        <v>52.1</v>
      </c>
      <c r="T30" s="5" t="s">
        <v>53</v>
      </c>
      <c r="U30" s="5" t="s">
        <v>57</v>
      </c>
      <c r="V30" s="5">
        <v>85</v>
      </c>
      <c r="W30" s="5" t="s">
        <v>53</v>
      </c>
      <c r="X30" s="5" t="s">
        <v>59</v>
      </c>
      <c r="Y30" s="5">
        <v>12.2</v>
      </c>
      <c r="Z30" s="5" t="s">
        <v>53</v>
      </c>
      <c r="AA30" s="5" t="s">
        <v>61</v>
      </c>
      <c r="AB30" s="5">
        <v>35.299999999999997</v>
      </c>
      <c r="AC30" s="5" t="s">
        <v>53</v>
      </c>
      <c r="AD30" s="1" t="s">
        <v>65</v>
      </c>
      <c r="AE30" s="5" t="s">
        <v>297</v>
      </c>
      <c r="AF30" s="5" t="s">
        <v>38</v>
      </c>
    </row>
    <row r="31" spans="1:32" x14ac:dyDescent="0.35">
      <c r="A31" s="5"/>
      <c r="B31" s="13">
        <v>2041</v>
      </c>
      <c r="C31" s="5" t="s">
        <v>35</v>
      </c>
      <c r="D31" s="5" t="s">
        <v>297</v>
      </c>
      <c r="E31" s="5" t="s">
        <v>38</v>
      </c>
      <c r="F31" s="5" t="s">
        <v>43</v>
      </c>
      <c r="G31" s="7">
        <v>97</v>
      </c>
      <c r="H31" s="5" t="s">
        <v>44</v>
      </c>
      <c r="I31" s="5" t="s">
        <v>46</v>
      </c>
      <c r="J31" s="5">
        <v>94</v>
      </c>
      <c r="K31" s="5" t="s">
        <v>44</v>
      </c>
      <c r="L31" s="5" t="s">
        <v>48</v>
      </c>
      <c r="M31" s="5">
        <v>107</v>
      </c>
      <c r="N31" s="5" t="s">
        <v>44</v>
      </c>
      <c r="O31" s="5" t="s">
        <v>50</v>
      </c>
      <c r="P31" s="5">
        <v>154</v>
      </c>
      <c r="Q31" s="5" t="s">
        <v>44</v>
      </c>
      <c r="R31" s="5" t="s">
        <v>52</v>
      </c>
      <c r="S31" s="5" t="s">
        <v>297</v>
      </c>
      <c r="T31" s="5" t="s">
        <v>53</v>
      </c>
      <c r="U31" s="5" t="s">
        <v>57</v>
      </c>
      <c r="V31" s="5" t="s">
        <v>297</v>
      </c>
      <c r="W31" s="5" t="s">
        <v>53</v>
      </c>
      <c r="X31" s="5" t="s">
        <v>59</v>
      </c>
      <c r="Y31" s="5" t="s">
        <v>297</v>
      </c>
      <c r="Z31" s="5" t="s">
        <v>53</v>
      </c>
      <c r="AA31" s="5" t="s">
        <v>61</v>
      </c>
      <c r="AB31" s="5" t="s">
        <v>297</v>
      </c>
      <c r="AC31" s="5" t="s">
        <v>53</v>
      </c>
      <c r="AD31" s="1" t="s">
        <v>65</v>
      </c>
      <c r="AE31" s="5" t="s">
        <v>297</v>
      </c>
      <c r="AF31" s="5" t="s">
        <v>38</v>
      </c>
    </row>
    <row r="32" spans="1:32" x14ac:dyDescent="0.35">
      <c r="A32" s="5"/>
      <c r="B32" s="13">
        <v>2042</v>
      </c>
      <c r="C32" s="5" t="s">
        <v>35</v>
      </c>
      <c r="D32" s="5" t="s">
        <v>297</v>
      </c>
      <c r="E32" s="5" t="s">
        <v>38</v>
      </c>
      <c r="F32" s="5" t="s">
        <v>43</v>
      </c>
      <c r="G32" s="7">
        <v>98</v>
      </c>
      <c r="H32" s="5" t="s">
        <v>44</v>
      </c>
      <c r="I32" s="5" t="s">
        <v>46</v>
      </c>
      <c r="J32" s="5">
        <v>93</v>
      </c>
      <c r="K32" s="5" t="s">
        <v>44</v>
      </c>
      <c r="L32" s="5" t="s">
        <v>48</v>
      </c>
      <c r="M32" s="5">
        <v>108</v>
      </c>
      <c r="N32" s="5" t="s">
        <v>44</v>
      </c>
      <c r="O32" s="5" t="s">
        <v>50</v>
      </c>
      <c r="P32" s="5">
        <v>156</v>
      </c>
      <c r="Q32" s="5" t="s">
        <v>44</v>
      </c>
      <c r="R32" s="5" t="s">
        <v>52</v>
      </c>
      <c r="S32" s="5" t="s">
        <v>297</v>
      </c>
      <c r="T32" s="5" t="s">
        <v>53</v>
      </c>
      <c r="U32" s="5" t="s">
        <v>57</v>
      </c>
      <c r="V32" s="5" t="s">
        <v>297</v>
      </c>
      <c r="W32" s="5" t="s">
        <v>53</v>
      </c>
      <c r="X32" s="5" t="s">
        <v>59</v>
      </c>
      <c r="Y32" s="5" t="s">
        <v>297</v>
      </c>
      <c r="Z32" s="5" t="s">
        <v>53</v>
      </c>
      <c r="AA32" s="5" t="s">
        <v>61</v>
      </c>
      <c r="AB32" s="5" t="s">
        <v>297</v>
      </c>
      <c r="AC32" s="5" t="s">
        <v>53</v>
      </c>
      <c r="AD32" s="1" t="s">
        <v>65</v>
      </c>
      <c r="AE32" s="5" t="s">
        <v>297</v>
      </c>
      <c r="AF32" s="5" t="s">
        <v>38</v>
      </c>
    </row>
    <row r="33" spans="1:32" x14ac:dyDescent="0.35">
      <c r="A33" s="5"/>
      <c r="B33" s="13">
        <v>2043</v>
      </c>
      <c r="C33" s="5" t="s">
        <v>35</v>
      </c>
      <c r="D33" s="5" t="s">
        <v>297</v>
      </c>
      <c r="E33" s="5" t="s">
        <v>38</v>
      </c>
      <c r="F33" s="5" t="s">
        <v>43</v>
      </c>
      <c r="G33" s="7">
        <v>99</v>
      </c>
      <c r="H33" s="5" t="s">
        <v>44</v>
      </c>
      <c r="I33" s="5" t="s">
        <v>46</v>
      </c>
      <c r="J33" s="5">
        <v>89</v>
      </c>
      <c r="K33" s="5" t="s">
        <v>44</v>
      </c>
      <c r="L33" s="5" t="s">
        <v>48</v>
      </c>
      <c r="M33" s="5">
        <v>110</v>
      </c>
      <c r="N33" s="5" t="s">
        <v>44</v>
      </c>
      <c r="O33" s="5" t="s">
        <v>50</v>
      </c>
      <c r="P33" s="5">
        <v>157</v>
      </c>
      <c r="Q33" s="5" t="s">
        <v>44</v>
      </c>
      <c r="R33" s="5" t="s">
        <v>52</v>
      </c>
      <c r="S33" s="5" t="s">
        <v>297</v>
      </c>
      <c r="T33" s="5" t="s">
        <v>53</v>
      </c>
      <c r="U33" s="5" t="s">
        <v>57</v>
      </c>
      <c r="V33" s="5" t="s">
        <v>297</v>
      </c>
      <c r="W33" s="5" t="s">
        <v>53</v>
      </c>
      <c r="X33" s="5" t="s">
        <v>59</v>
      </c>
      <c r="Y33" s="5" t="s">
        <v>297</v>
      </c>
      <c r="Z33" s="5" t="s">
        <v>53</v>
      </c>
      <c r="AA33" s="5" t="s">
        <v>61</v>
      </c>
      <c r="AB33" s="5" t="s">
        <v>297</v>
      </c>
      <c r="AC33" s="5" t="s">
        <v>53</v>
      </c>
      <c r="AD33" s="1" t="s">
        <v>65</v>
      </c>
      <c r="AE33" s="5" t="s">
        <v>297</v>
      </c>
      <c r="AF33" s="5" t="s">
        <v>38</v>
      </c>
    </row>
    <row r="34" spans="1:32" x14ac:dyDescent="0.35">
      <c r="A34" s="5"/>
      <c r="B34" s="13">
        <v>2044</v>
      </c>
      <c r="C34" s="5" t="s">
        <v>35</v>
      </c>
      <c r="D34" s="5" t="s">
        <v>297</v>
      </c>
      <c r="E34" s="5" t="s">
        <v>38</v>
      </c>
      <c r="F34" s="5" t="s">
        <v>43</v>
      </c>
      <c r="G34" s="7">
        <v>100</v>
      </c>
      <c r="H34" s="5" t="s">
        <v>44</v>
      </c>
      <c r="I34" s="5" t="s">
        <v>46</v>
      </c>
      <c r="J34" s="5">
        <v>90</v>
      </c>
      <c r="K34" s="5" t="s">
        <v>44</v>
      </c>
      <c r="L34" s="5" t="s">
        <v>48</v>
      </c>
      <c r="M34" s="5">
        <v>110</v>
      </c>
      <c r="N34" s="5" t="s">
        <v>44</v>
      </c>
      <c r="O34" s="5" t="s">
        <v>50</v>
      </c>
      <c r="P34" s="5">
        <v>157</v>
      </c>
      <c r="Q34" s="5" t="s">
        <v>44</v>
      </c>
      <c r="R34" s="5" t="s">
        <v>52</v>
      </c>
      <c r="S34" s="5" t="s">
        <v>297</v>
      </c>
      <c r="T34" s="5" t="s">
        <v>53</v>
      </c>
      <c r="U34" s="5" t="s">
        <v>57</v>
      </c>
      <c r="V34" s="5" t="s">
        <v>297</v>
      </c>
      <c r="W34" s="5" t="s">
        <v>53</v>
      </c>
      <c r="X34" s="5" t="s">
        <v>59</v>
      </c>
      <c r="Y34" s="5" t="s">
        <v>297</v>
      </c>
      <c r="Z34" s="5" t="s">
        <v>53</v>
      </c>
      <c r="AA34" s="5" t="s">
        <v>61</v>
      </c>
      <c r="AB34" s="5" t="s">
        <v>297</v>
      </c>
      <c r="AC34" s="5" t="s">
        <v>53</v>
      </c>
      <c r="AD34" s="1" t="s">
        <v>65</v>
      </c>
      <c r="AE34" s="5" t="s">
        <v>297</v>
      </c>
      <c r="AF34" s="5" t="s">
        <v>38</v>
      </c>
    </row>
    <row r="35" spans="1:32" x14ac:dyDescent="0.35">
      <c r="A35" s="5"/>
      <c r="B35" s="13">
        <v>2045</v>
      </c>
      <c r="C35" s="5" t="s">
        <v>35</v>
      </c>
      <c r="D35" s="5">
        <v>155.07542999999998</v>
      </c>
      <c r="E35" s="5" t="s">
        <v>38</v>
      </c>
      <c r="F35" s="5" t="s">
        <v>43</v>
      </c>
      <c r="G35" s="7">
        <v>100</v>
      </c>
      <c r="H35" s="5" t="s">
        <v>44</v>
      </c>
      <c r="I35" s="5" t="s">
        <v>46</v>
      </c>
      <c r="J35" s="5">
        <v>88</v>
      </c>
      <c r="K35" s="5" t="s">
        <v>44</v>
      </c>
      <c r="L35" s="5" t="s">
        <v>48</v>
      </c>
      <c r="M35" s="5">
        <v>112</v>
      </c>
      <c r="N35" s="5" t="s">
        <v>44</v>
      </c>
      <c r="O35" s="5" t="s">
        <v>50</v>
      </c>
      <c r="P35" s="5">
        <v>159</v>
      </c>
      <c r="Q35" s="5" t="s">
        <v>44</v>
      </c>
      <c r="R35" s="5" t="s">
        <v>52</v>
      </c>
      <c r="S35" s="5">
        <v>41.3</v>
      </c>
      <c r="T35" s="5" t="s">
        <v>53</v>
      </c>
      <c r="U35" s="5" t="s">
        <v>57</v>
      </c>
      <c r="V35" s="5">
        <v>81.7</v>
      </c>
      <c r="W35" s="5" t="s">
        <v>53</v>
      </c>
      <c r="X35" s="5" t="s">
        <v>59</v>
      </c>
      <c r="Y35" s="5">
        <v>12.4</v>
      </c>
      <c r="Z35" s="5" t="s">
        <v>53</v>
      </c>
      <c r="AA35" s="5" t="s">
        <v>61</v>
      </c>
      <c r="AB35" s="5">
        <v>35.6</v>
      </c>
      <c r="AC35" s="5" t="s">
        <v>53</v>
      </c>
      <c r="AD35" s="1" t="s">
        <v>65</v>
      </c>
      <c r="AE35" s="5" t="s">
        <v>297</v>
      </c>
      <c r="AF35" s="5" t="s">
        <v>38</v>
      </c>
    </row>
    <row r="36" spans="1:32" x14ac:dyDescent="0.35">
      <c r="A36" s="5"/>
      <c r="B36" s="13">
        <v>2046</v>
      </c>
      <c r="C36" s="5" t="s">
        <v>35</v>
      </c>
      <c r="D36" s="5" t="s">
        <v>297</v>
      </c>
      <c r="E36" s="5" t="s">
        <v>38</v>
      </c>
      <c r="F36" s="5" t="s">
        <v>43</v>
      </c>
      <c r="G36" s="7">
        <v>101</v>
      </c>
      <c r="H36" s="5" t="s">
        <v>44</v>
      </c>
      <c r="I36" s="5" t="s">
        <v>46</v>
      </c>
      <c r="J36" s="5">
        <v>88</v>
      </c>
      <c r="K36" s="5" t="s">
        <v>44</v>
      </c>
      <c r="L36" s="5" t="s">
        <v>48</v>
      </c>
      <c r="M36" s="5">
        <v>112</v>
      </c>
      <c r="N36" s="5" t="s">
        <v>44</v>
      </c>
      <c r="O36" s="5" t="s">
        <v>50</v>
      </c>
      <c r="P36" s="5">
        <v>159</v>
      </c>
      <c r="Q36" s="5" t="s">
        <v>44</v>
      </c>
      <c r="R36" s="5" t="s">
        <v>52</v>
      </c>
      <c r="S36" s="5" t="s">
        <v>297</v>
      </c>
      <c r="T36" s="5" t="s">
        <v>53</v>
      </c>
      <c r="U36" s="5" t="s">
        <v>57</v>
      </c>
      <c r="V36" s="5" t="s">
        <v>297</v>
      </c>
      <c r="W36" s="5" t="s">
        <v>53</v>
      </c>
      <c r="X36" s="5" t="s">
        <v>59</v>
      </c>
      <c r="Y36" s="5" t="s">
        <v>297</v>
      </c>
      <c r="Z36" s="5" t="s">
        <v>53</v>
      </c>
      <c r="AA36" s="5" t="s">
        <v>61</v>
      </c>
      <c r="AB36" s="5" t="s">
        <v>297</v>
      </c>
      <c r="AC36" s="5" t="s">
        <v>53</v>
      </c>
      <c r="AD36" s="1" t="s">
        <v>65</v>
      </c>
      <c r="AE36" s="5" t="s">
        <v>297</v>
      </c>
      <c r="AF36" s="5" t="s">
        <v>38</v>
      </c>
    </row>
    <row r="37" spans="1:32" x14ac:dyDescent="0.35">
      <c r="A37" s="5"/>
      <c r="B37" s="13">
        <v>2047</v>
      </c>
      <c r="C37" s="5" t="s">
        <v>35</v>
      </c>
      <c r="D37" s="5" t="s">
        <v>297</v>
      </c>
      <c r="E37" s="5" t="s">
        <v>38</v>
      </c>
      <c r="F37" s="5" t="s">
        <v>43</v>
      </c>
      <c r="G37" s="7">
        <v>102</v>
      </c>
      <c r="H37" s="5" t="s">
        <v>44</v>
      </c>
      <c r="I37" s="5" t="s">
        <v>46</v>
      </c>
      <c r="J37" s="5">
        <v>89</v>
      </c>
      <c r="K37" s="5" t="s">
        <v>44</v>
      </c>
      <c r="L37" s="5" t="s">
        <v>48</v>
      </c>
      <c r="M37" s="5">
        <v>114</v>
      </c>
      <c r="N37" s="5" t="s">
        <v>44</v>
      </c>
      <c r="O37" s="5" t="s">
        <v>50</v>
      </c>
      <c r="P37" s="5">
        <v>161</v>
      </c>
      <c r="Q37" s="5" t="s">
        <v>44</v>
      </c>
      <c r="R37" s="5" t="s">
        <v>52</v>
      </c>
      <c r="S37" s="5" t="s">
        <v>297</v>
      </c>
      <c r="T37" s="5" t="s">
        <v>53</v>
      </c>
      <c r="U37" s="5" t="s">
        <v>57</v>
      </c>
      <c r="V37" s="5" t="s">
        <v>297</v>
      </c>
      <c r="W37" s="5" t="s">
        <v>53</v>
      </c>
      <c r="X37" s="5" t="s">
        <v>59</v>
      </c>
      <c r="Y37" s="5" t="s">
        <v>297</v>
      </c>
      <c r="Z37" s="5" t="s">
        <v>53</v>
      </c>
      <c r="AA37" s="5" t="s">
        <v>61</v>
      </c>
      <c r="AB37" s="5" t="s">
        <v>297</v>
      </c>
      <c r="AC37" s="5" t="s">
        <v>53</v>
      </c>
      <c r="AD37" s="1" t="s">
        <v>65</v>
      </c>
      <c r="AE37" s="5" t="s">
        <v>297</v>
      </c>
      <c r="AF37" s="5" t="s">
        <v>38</v>
      </c>
    </row>
    <row r="38" spans="1:32" x14ac:dyDescent="0.35">
      <c r="A38" s="5"/>
      <c r="B38" s="13">
        <v>2048</v>
      </c>
      <c r="C38" s="5" t="s">
        <v>35</v>
      </c>
      <c r="D38" s="5" t="s">
        <v>297</v>
      </c>
      <c r="E38" s="5" t="s">
        <v>38</v>
      </c>
      <c r="F38" s="5" t="s">
        <v>43</v>
      </c>
      <c r="G38" s="7">
        <v>103</v>
      </c>
      <c r="H38" s="5" t="s">
        <v>44</v>
      </c>
      <c r="I38" s="5" t="s">
        <v>46</v>
      </c>
      <c r="J38" s="5">
        <v>90</v>
      </c>
      <c r="K38" s="5" t="s">
        <v>44</v>
      </c>
      <c r="L38" s="5" t="s">
        <v>48</v>
      </c>
      <c r="M38" s="5">
        <v>116</v>
      </c>
      <c r="N38" s="5" t="s">
        <v>44</v>
      </c>
      <c r="O38" s="5" t="s">
        <v>50</v>
      </c>
      <c r="P38" s="5">
        <v>163</v>
      </c>
      <c r="Q38" s="5" t="s">
        <v>44</v>
      </c>
      <c r="R38" s="5" t="s">
        <v>52</v>
      </c>
      <c r="S38" s="5" t="s">
        <v>297</v>
      </c>
      <c r="T38" s="5" t="s">
        <v>53</v>
      </c>
      <c r="U38" s="5" t="s">
        <v>57</v>
      </c>
      <c r="V38" s="5" t="s">
        <v>297</v>
      </c>
      <c r="W38" s="5" t="s">
        <v>53</v>
      </c>
      <c r="X38" s="5" t="s">
        <v>59</v>
      </c>
      <c r="Y38" s="5" t="s">
        <v>297</v>
      </c>
      <c r="Z38" s="5" t="s">
        <v>53</v>
      </c>
      <c r="AA38" s="5" t="s">
        <v>61</v>
      </c>
      <c r="AB38" s="5" t="s">
        <v>297</v>
      </c>
      <c r="AC38" s="5" t="s">
        <v>53</v>
      </c>
      <c r="AD38" s="1" t="s">
        <v>65</v>
      </c>
      <c r="AE38" s="5" t="s">
        <v>297</v>
      </c>
      <c r="AF38" s="5" t="s">
        <v>38</v>
      </c>
    </row>
    <row r="39" spans="1:32" x14ac:dyDescent="0.35">
      <c r="A39" s="5"/>
      <c r="B39" s="13">
        <v>2049</v>
      </c>
      <c r="C39" s="5" t="s">
        <v>35</v>
      </c>
      <c r="D39" s="5" t="s">
        <v>297</v>
      </c>
      <c r="E39" s="5" t="s">
        <v>38</v>
      </c>
      <c r="F39" s="5" t="s">
        <v>43</v>
      </c>
      <c r="G39" s="7">
        <v>105</v>
      </c>
      <c r="H39" s="5" t="s">
        <v>44</v>
      </c>
      <c r="I39" s="5" t="s">
        <v>46</v>
      </c>
      <c r="J39" s="5">
        <v>91</v>
      </c>
      <c r="K39" s="5" t="s">
        <v>44</v>
      </c>
      <c r="L39" s="5" t="s">
        <v>48</v>
      </c>
      <c r="M39" s="5">
        <v>118</v>
      </c>
      <c r="N39" s="5" t="s">
        <v>44</v>
      </c>
      <c r="O39" s="5" t="s">
        <v>50</v>
      </c>
      <c r="P39" s="5">
        <v>165</v>
      </c>
      <c r="Q39" s="5" t="s">
        <v>44</v>
      </c>
      <c r="R39" s="5" t="s">
        <v>52</v>
      </c>
      <c r="S39" s="5" t="s">
        <v>297</v>
      </c>
      <c r="T39" s="5" t="s">
        <v>53</v>
      </c>
      <c r="U39" s="5" t="s">
        <v>57</v>
      </c>
      <c r="V39" s="5" t="s">
        <v>297</v>
      </c>
      <c r="W39" s="5" t="s">
        <v>53</v>
      </c>
      <c r="X39" s="5" t="s">
        <v>59</v>
      </c>
      <c r="Y39" s="5" t="s">
        <v>297</v>
      </c>
      <c r="Z39" s="5" t="s">
        <v>53</v>
      </c>
      <c r="AA39" s="5" t="s">
        <v>61</v>
      </c>
      <c r="AB39" s="5" t="s">
        <v>297</v>
      </c>
      <c r="AC39" s="5" t="s">
        <v>53</v>
      </c>
      <c r="AD39" s="1" t="s">
        <v>65</v>
      </c>
      <c r="AE39" s="5" t="s">
        <v>297</v>
      </c>
      <c r="AF39" s="5" t="s">
        <v>38</v>
      </c>
    </row>
    <row r="40" spans="1:32" x14ac:dyDescent="0.35">
      <c r="A40" s="5"/>
      <c r="B40" s="13">
        <v>2050</v>
      </c>
      <c r="C40" s="5" t="s">
        <v>35</v>
      </c>
      <c r="D40" s="5">
        <v>156.86628999999996</v>
      </c>
      <c r="E40" s="5" t="s">
        <v>38</v>
      </c>
      <c r="F40" s="5" t="s">
        <v>43</v>
      </c>
      <c r="G40" s="7">
        <v>105</v>
      </c>
      <c r="H40" s="5" t="s">
        <v>44</v>
      </c>
      <c r="I40" s="5" t="s">
        <v>46</v>
      </c>
      <c r="J40" s="5">
        <v>92</v>
      </c>
      <c r="K40" s="5" t="s">
        <v>44</v>
      </c>
      <c r="L40" s="5" t="s">
        <v>48</v>
      </c>
      <c r="M40" s="5">
        <v>118</v>
      </c>
      <c r="N40" s="5" t="s">
        <v>44</v>
      </c>
      <c r="O40" s="5" t="s">
        <v>50</v>
      </c>
      <c r="P40" s="5">
        <v>164</v>
      </c>
      <c r="Q40" s="5" t="s">
        <v>44</v>
      </c>
      <c r="R40" s="5" t="s">
        <v>52</v>
      </c>
      <c r="S40" s="5">
        <v>30.5</v>
      </c>
      <c r="T40" s="5" t="s">
        <v>53</v>
      </c>
      <c r="U40" s="5" t="s">
        <v>57</v>
      </c>
      <c r="V40" s="5">
        <v>78.5</v>
      </c>
      <c r="W40" s="5" t="s">
        <v>53</v>
      </c>
      <c r="X40" s="5" t="s">
        <v>59</v>
      </c>
      <c r="Y40" s="5">
        <v>12.5</v>
      </c>
      <c r="Z40" s="5" t="s">
        <v>53</v>
      </c>
      <c r="AA40" s="5" t="s">
        <v>61</v>
      </c>
      <c r="AB40" s="5">
        <v>35.9</v>
      </c>
      <c r="AC40" s="5" t="s">
        <v>53</v>
      </c>
      <c r="AD40" s="1" t="s">
        <v>65</v>
      </c>
      <c r="AE40" s="5">
        <v>61.93</v>
      </c>
      <c r="AF40" s="5" t="s">
        <v>38</v>
      </c>
    </row>
    <row r="41" spans="1:32" x14ac:dyDescent="0.35">
      <c r="A41" s="14" t="s">
        <v>292</v>
      </c>
      <c r="B41" s="14" t="s">
        <v>11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35">
      <c r="A43" s="30" t="s">
        <v>298</v>
      </c>
      <c r="B43" s="12" t="s">
        <v>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 x14ac:dyDescent="0.35">
      <c r="A44" s="5" t="s">
        <v>3</v>
      </c>
      <c r="B44" s="5" t="s">
        <v>78</v>
      </c>
      <c r="C44" s="5" t="s">
        <v>165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 x14ac:dyDescent="0.35">
      <c r="A45" s="5"/>
      <c r="B45" s="5" t="s">
        <v>78</v>
      </c>
      <c r="C45" s="5" t="s">
        <v>86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spans="1:32" x14ac:dyDescent="0.35">
      <c r="A46" s="5" t="s">
        <v>3</v>
      </c>
      <c r="B46" s="5" t="s">
        <v>150</v>
      </c>
      <c r="C46" s="5" t="s">
        <v>293</v>
      </c>
      <c r="D46" s="5" t="s">
        <v>294</v>
      </c>
      <c r="E46" s="7" t="s">
        <v>295</v>
      </c>
      <c r="F46" s="5" t="s">
        <v>212</v>
      </c>
      <c r="G46" s="5" t="s">
        <v>212</v>
      </c>
      <c r="H46" s="7"/>
      <c r="I46" s="5" t="s">
        <v>296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x14ac:dyDescent="0.35">
      <c r="A47" s="5"/>
      <c r="B47" s="13">
        <v>2025</v>
      </c>
      <c r="C47" s="5" t="s">
        <v>35</v>
      </c>
      <c r="D47" s="5">
        <v>154.18</v>
      </c>
      <c r="E47" s="5" t="s">
        <v>38</v>
      </c>
      <c r="F47" s="5" t="s">
        <v>43</v>
      </c>
      <c r="G47" s="7">
        <v>78</v>
      </c>
      <c r="H47" s="5" t="s">
        <v>44</v>
      </c>
      <c r="I47" s="5" t="s">
        <v>46</v>
      </c>
      <c r="J47" s="5">
        <v>111</v>
      </c>
      <c r="K47" s="5" t="s">
        <v>44</v>
      </c>
      <c r="L47" s="5" t="s">
        <v>48</v>
      </c>
      <c r="M47" s="5">
        <v>84</v>
      </c>
      <c r="N47" s="5" t="s">
        <v>44</v>
      </c>
      <c r="O47" s="5" t="s">
        <v>50</v>
      </c>
      <c r="P47" s="5">
        <v>143</v>
      </c>
      <c r="Q47" s="5" t="s">
        <v>44</v>
      </c>
      <c r="R47" s="5" t="s">
        <v>52</v>
      </c>
      <c r="S47" s="7">
        <v>32.5</v>
      </c>
      <c r="T47" s="5" t="s">
        <v>53</v>
      </c>
      <c r="U47" s="5" t="s">
        <v>57</v>
      </c>
      <c r="V47" s="5">
        <v>36.299999999999997</v>
      </c>
      <c r="W47" s="5" t="s">
        <v>53</v>
      </c>
      <c r="X47" s="5" t="s">
        <v>59</v>
      </c>
      <c r="Y47" s="5">
        <v>32.5</v>
      </c>
      <c r="Z47" s="5" t="s">
        <v>53</v>
      </c>
      <c r="AA47" s="5" t="s">
        <v>61</v>
      </c>
      <c r="AB47" s="5">
        <v>13.1</v>
      </c>
      <c r="AC47" s="5" t="s">
        <v>53</v>
      </c>
      <c r="AD47" s="1" t="s">
        <v>65</v>
      </c>
      <c r="AE47" s="5">
        <v>40.49</v>
      </c>
      <c r="AF47" s="5" t="s">
        <v>38</v>
      </c>
    </row>
    <row r="48" spans="1:32" x14ac:dyDescent="0.35">
      <c r="A48" s="5"/>
      <c r="B48" s="13">
        <v>2026</v>
      </c>
      <c r="C48" s="5" t="s">
        <v>35</v>
      </c>
      <c r="D48" s="5" t="s">
        <v>297</v>
      </c>
      <c r="E48" s="5" t="s">
        <v>38</v>
      </c>
      <c r="F48" s="5" t="s">
        <v>43</v>
      </c>
      <c r="G48" s="7">
        <v>80</v>
      </c>
      <c r="H48" s="5" t="s">
        <v>44</v>
      </c>
      <c r="I48" s="5" t="s">
        <v>46</v>
      </c>
      <c r="J48" s="5">
        <v>104</v>
      </c>
      <c r="K48" s="5" t="s">
        <v>44</v>
      </c>
      <c r="L48" s="5" t="s">
        <v>48</v>
      </c>
      <c r="M48" s="5">
        <v>82</v>
      </c>
      <c r="N48" s="5" t="s">
        <v>44</v>
      </c>
      <c r="O48" s="5" t="s">
        <v>50</v>
      </c>
      <c r="P48" s="5">
        <v>139</v>
      </c>
      <c r="Q48" s="5" t="s">
        <v>44</v>
      </c>
      <c r="R48" s="5" t="s">
        <v>52</v>
      </c>
      <c r="S48" s="5" t="s">
        <v>297</v>
      </c>
      <c r="T48" s="5" t="s">
        <v>53</v>
      </c>
      <c r="U48" s="5" t="s">
        <v>57</v>
      </c>
      <c r="V48" s="5" t="s">
        <v>297</v>
      </c>
      <c r="W48" s="5" t="s">
        <v>53</v>
      </c>
      <c r="X48" s="5" t="s">
        <v>59</v>
      </c>
      <c r="Y48" s="5" t="s">
        <v>297</v>
      </c>
      <c r="Z48" s="5" t="s">
        <v>53</v>
      </c>
      <c r="AA48" s="5" t="s">
        <v>61</v>
      </c>
      <c r="AB48" s="5" t="s">
        <v>297</v>
      </c>
      <c r="AC48" s="5" t="s">
        <v>53</v>
      </c>
      <c r="AD48" s="1" t="s">
        <v>65</v>
      </c>
      <c r="AE48" s="5" t="s">
        <v>297</v>
      </c>
      <c r="AF48" s="5" t="s">
        <v>38</v>
      </c>
    </row>
    <row r="49" spans="1:32" x14ac:dyDescent="0.35">
      <c r="A49" s="5"/>
      <c r="B49" s="13">
        <v>2027</v>
      </c>
      <c r="C49" s="5" t="s">
        <v>35</v>
      </c>
      <c r="D49" s="5" t="s">
        <v>297</v>
      </c>
      <c r="E49" s="5" t="s">
        <v>38</v>
      </c>
      <c r="F49" s="5" t="s">
        <v>43</v>
      </c>
      <c r="G49" s="7">
        <v>79</v>
      </c>
      <c r="H49" s="5" t="s">
        <v>44</v>
      </c>
      <c r="I49" s="5" t="s">
        <v>46</v>
      </c>
      <c r="J49" s="5">
        <v>102</v>
      </c>
      <c r="K49" s="5" t="s">
        <v>44</v>
      </c>
      <c r="L49" s="5" t="s">
        <v>48</v>
      </c>
      <c r="M49" s="5">
        <v>84</v>
      </c>
      <c r="N49" s="5" t="s">
        <v>44</v>
      </c>
      <c r="O49" s="5" t="s">
        <v>50</v>
      </c>
      <c r="P49" s="5">
        <v>138</v>
      </c>
      <c r="Q49" s="5" t="s">
        <v>44</v>
      </c>
      <c r="R49" s="5" t="s">
        <v>52</v>
      </c>
      <c r="S49" s="5" t="s">
        <v>297</v>
      </c>
      <c r="T49" s="5" t="s">
        <v>53</v>
      </c>
      <c r="U49" s="5" t="s">
        <v>57</v>
      </c>
      <c r="V49" s="5" t="s">
        <v>297</v>
      </c>
      <c r="W49" s="5" t="s">
        <v>53</v>
      </c>
      <c r="X49" s="5" t="s">
        <v>59</v>
      </c>
      <c r="Y49" s="5" t="s">
        <v>297</v>
      </c>
      <c r="Z49" s="5" t="s">
        <v>53</v>
      </c>
      <c r="AA49" s="5" t="s">
        <v>61</v>
      </c>
      <c r="AB49" s="5" t="s">
        <v>297</v>
      </c>
      <c r="AC49" s="5" t="s">
        <v>53</v>
      </c>
      <c r="AD49" s="1" t="s">
        <v>65</v>
      </c>
      <c r="AE49" s="5" t="s">
        <v>297</v>
      </c>
      <c r="AF49" s="5" t="s">
        <v>38</v>
      </c>
    </row>
    <row r="50" spans="1:32" x14ac:dyDescent="0.35">
      <c r="A50" s="5"/>
      <c r="B50" s="13">
        <v>2028</v>
      </c>
      <c r="C50" s="5" t="s">
        <v>35</v>
      </c>
      <c r="D50" s="5" t="s">
        <v>297</v>
      </c>
      <c r="E50" s="5" t="s">
        <v>38</v>
      </c>
      <c r="F50" s="5" t="s">
        <v>43</v>
      </c>
      <c r="G50" s="7">
        <v>79</v>
      </c>
      <c r="H50" s="5" t="s">
        <v>44</v>
      </c>
      <c r="I50" s="5" t="s">
        <v>46</v>
      </c>
      <c r="J50" s="5">
        <v>101</v>
      </c>
      <c r="K50" s="5" t="s">
        <v>44</v>
      </c>
      <c r="L50" s="5" t="s">
        <v>48</v>
      </c>
      <c r="M50" s="5">
        <v>87</v>
      </c>
      <c r="N50" s="5" t="s">
        <v>44</v>
      </c>
      <c r="O50" s="5" t="s">
        <v>50</v>
      </c>
      <c r="P50" s="5">
        <v>139</v>
      </c>
      <c r="Q50" s="5" t="s">
        <v>44</v>
      </c>
      <c r="R50" s="5" t="s">
        <v>52</v>
      </c>
      <c r="S50" s="5" t="s">
        <v>297</v>
      </c>
      <c r="T50" s="5" t="s">
        <v>53</v>
      </c>
      <c r="U50" s="5" t="s">
        <v>57</v>
      </c>
      <c r="V50" s="5" t="s">
        <v>297</v>
      </c>
      <c r="W50" s="5" t="s">
        <v>53</v>
      </c>
      <c r="X50" s="5" t="s">
        <v>59</v>
      </c>
      <c r="Y50" s="5" t="s">
        <v>297</v>
      </c>
      <c r="Z50" s="5" t="s">
        <v>53</v>
      </c>
      <c r="AA50" s="5" t="s">
        <v>61</v>
      </c>
      <c r="AB50" s="5" t="s">
        <v>297</v>
      </c>
      <c r="AC50" s="5" t="s">
        <v>53</v>
      </c>
      <c r="AD50" s="1" t="s">
        <v>65</v>
      </c>
      <c r="AE50" s="5" t="s">
        <v>297</v>
      </c>
      <c r="AF50" s="5" t="s">
        <v>38</v>
      </c>
    </row>
    <row r="51" spans="1:32" x14ac:dyDescent="0.35">
      <c r="A51" s="5"/>
      <c r="B51" s="13">
        <v>2029</v>
      </c>
      <c r="C51" s="5" t="s">
        <v>35</v>
      </c>
      <c r="D51" s="5" t="s">
        <v>297</v>
      </c>
      <c r="E51" s="5" t="s">
        <v>38</v>
      </c>
      <c r="F51" s="5" t="s">
        <v>43</v>
      </c>
      <c r="G51" s="7">
        <v>79</v>
      </c>
      <c r="H51" s="5" t="s">
        <v>44</v>
      </c>
      <c r="I51" s="5" t="s">
        <v>46</v>
      </c>
      <c r="J51" s="5">
        <v>100</v>
      </c>
      <c r="K51" s="5" t="s">
        <v>44</v>
      </c>
      <c r="L51" s="5" t="s">
        <v>48</v>
      </c>
      <c r="M51" s="5">
        <v>90</v>
      </c>
      <c r="N51" s="5" t="s">
        <v>44</v>
      </c>
      <c r="O51" s="5" t="s">
        <v>50</v>
      </c>
      <c r="P51" s="5">
        <v>140</v>
      </c>
      <c r="Q51" s="5" t="s">
        <v>44</v>
      </c>
      <c r="R51" s="5" t="s">
        <v>52</v>
      </c>
      <c r="S51" s="5" t="s">
        <v>297</v>
      </c>
      <c r="T51" s="5" t="s">
        <v>53</v>
      </c>
      <c r="U51" s="5" t="s">
        <v>57</v>
      </c>
      <c r="V51" s="5" t="s">
        <v>297</v>
      </c>
      <c r="W51" s="5" t="s">
        <v>53</v>
      </c>
      <c r="X51" s="5" t="s">
        <v>59</v>
      </c>
      <c r="Y51" s="5" t="s">
        <v>297</v>
      </c>
      <c r="Z51" s="5" t="s">
        <v>53</v>
      </c>
      <c r="AA51" s="5" t="s">
        <v>61</v>
      </c>
      <c r="AB51" s="5" t="s">
        <v>297</v>
      </c>
      <c r="AC51" s="5" t="s">
        <v>53</v>
      </c>
      <c r="AD51" s="1" t="s">
        <v>65</v>
      </c>
      <c r="AE51" s="5" t="s">
        <v>297</v>
      </c>
      <c r="AF51" s="5" t="s">
        <v>38</v>
      </c>
    </row>
    <row r="52" spans="1:32" x14ac:dyDescent="0.35">
      <c r="A52" s="5"/>
      <c r="B52" s="13">
        <v>2030</v>
      </c>
      <c r="C52" s="5" t="s">
        <v>35</v>
      </c>
      <c r="D52" s="5">
        <v>148.64138</v>
      </c>
      <c r="E52" s="5" t="s">
        <v>38</v>
      </c>
      <c r="F52" s="5" t="s">
        <v>43</v>
      </c>
      <c r="G52" s="7">
        <v>81</v>
      </c>
      <c r="H52" s="5" t="s">
        <v>44</v>
      </c>
      <c r="I52" s="5" t="s">
        <v>46</v>
      </c>
      <c r="J52" s="5">
        <v>100</v>
      </c>
      <c r="K52" s="5" t="s">
        <v>44</v>
      </c>
      <c r="L52" s="5" t="s">
        <v>48</v>
      </c>
      <c r="M52" s="5">
        <v>94</v>
      </c>
      <c r="N52" s="5" t="s">
        <v>44</v>
      </c>
      <c r="O52" s="5" t="s">
        <v>50</v>
      </c>
      <c r="P52" s="5">
        <v>142</v>
      </c>
      <c r="Q52" s="5" t="s">
        <v>44</v>
      </c>
      <c r="R52" s="5" t="s">
        <v>52</v>
      </c>
      <c r="S52" s="5">
        <v>25.2</v>
      </c>
      <c r="T52" s="5" t="s">
        <v>53</v>
      </c>
      <c r="U52" s="5" t="s">
        <v>57</v>
      </c>
      <c r="V52" s="5">
        <v>31.2</v>
      </c>
      <c r="W52" s="5" t="s">
        <v>53</v>
      </c>
      <c r="X52" s="5" t="s">
        <v>59</v>
      </c>
      <c r="Y52" s="5">
        <v>34.299999999999997</v>
      </c>
      <c r="Z52" s="5" t="s">
        <v>53</v>
      </c>
      <c r="AA52" s="5" t="s">
        <v>61</v>
      </c>
      <c r="AB52" s="5">
        <v>11.8</v>
      </c>
      <c r="AC52" s="5" t="s">
        <v>53</v>
      </c>
      <c r="AD52" s="1" t="s">
        <v>65</v>
      </c>
      <c r="AE52" s="29">
        <v>42.84</v>
      </c>
      <c r="AF52" s="5" t="s">
        <v>38</v>
      </c>
    </row>
    <row r="53" spans="1:32" x14ac:dyDescent="0.35">
      <c r="A53" s="5"/>
      <c r="B53" s="13">
        <v>2031</v>
      </c>
      <c r="C53" s="5" t="s">
        <v>35</v>
      </c>
      <c r="D53" s="5" t="s">
        <v>297</v>
      </c>
      <c r="E53" s="5" t="s">
        <v>38</v>
      </c>
      <c r="F53" s="5" t="s">
        <v>43</v>
      </c>
      <c r="G53" s="7">
        <v>82</v>
      </c>
      <c r="H53" s="5" t="s">
        <v>44</v>
      </c>
      <c r="I53" s="5" t="s">
        <v>46</v>
      </c>
      <c r="J53" s="5">
        <v>100</v>
      </c>
      <c r="K53" s="5" t="s">
        <v>44</v>
      </c>
      <c r="L53" s="5" t="s">
        <v>48</v>
      </c>
      <c r="M53" s="5">
        <v>94</v>
      </c>
      <c r="N53" s="5" t="s">
        <v>44</v>
      </c>
      <c r="O53" s="5" t="s">
        <v>50</v>
      </c>
      <c r="P53" s="5">
        <v>142</v>
      </c>
      <c r="Q53" s="5" t="s">
        <v>44</v>
      </c>
      <c r="R53" s="5" t="s">
        <v>52</v>
      </c>
      <c r="S53" s="5" t="s">
        <v>297</v>
      </c>
      <c r="T53" s="5" t="s">
        <v>53</v>
      </c>
      <c r="U53" s="5" t="s">
        <v>57</v>
      </c>
      <c r="V53" s="5" t="s">
        <v>297</v>
      </c>
      <c r="W53" s="5" t="s">
        <v>53</v>
      </c>
      <c r="X53" s="5" t="s">
        <v>59</v>
      </c>
      <c r="Y53" s="5" t="s">
        <v>297</v>
      </c>
      <c r="Z53" s="5" t="s">
        <v>53</v>
      </c>
      <c r="AA53" s="5" t="s">
        <v>61</v>
      </c>
      <c r="AB53" s="5" t="s">
        <v>297</v>
      </c>
      <c r="AC53" s="5" t="s">
        <v>53</v>
      </c>
      <c r="AD53" s="1" t="s">
        <v>65</v>
      </c>
      <c r="AE53" s="5" t="s">
        <v>297</v>
      </c>
      <c r="AF53" s="5" t="s">
        <v>38</v>
      </c>
    </row>
    <row r="54" spans="1:32" x14ac:dyDescent="0.35">
      <c r="A54" s="5"/>
      <c r="B54" s="13">
        <v>2032</v>
      </c>
      <c r="C54" s="5" t="s">
        <v>35</v>
      </c>
      <c r="D54" s="5" t="s">
        <v>297</v>
      </c>
      <c r="E54" s="5" t="s">
        <v>38</v>
      </c>
      <c r="F54" s="5" t="s">
        <v>43</v>
      </c>
      <c r="G54" s="7">
        <v>85</v>
      </c>
      <c r="H54" s="5" t="s">
        <v>44</v>
      </c>
      <c r="I54" s="5" t="s">
        <v>46</v>
      </c>
      <c r="J54" s="5">
        <v>99</v>
      </c>
      <c r="K54" s="5" t="s">
        <v>44</v>
      </c>
      <c r="L54" s="5" t="s">
        <v>48</v>
      </c>
      <c r="M54" s="5">
        <v>94</v>
      </c>
      <c r="N54" s="5" t="s">
        <v>44</v>
      </c>
      <c r="O54" s="5" t="s">
        <v>50</v>
      </c>
      <c r="P54" s="5">
        <v>141</v>
      </c>
      <c r="Q54" s="5" t="s">
        <v>44</v>
      </c>
      <c r="R54" s="5" t="s">
        <v>52</v>
      </c>
      <c r="S54" s="5" t="s">
        <v>297</v>
      </c>
      <c r="T54" s="5" t="s">
        <v>53</v>
      </c>
      <c r="U54" s="5" t="s">
        <v>57</v>
      </c>
      <c r="V54" s="5" t="s">
        <v>297</v>
      </c>
      <c r="W54" s="5" t="s">
        <v>53</v>
      </c>
      <c r="X54" s="5" t="s">
        <v>59</v>
      </c>
      <c r="Y54" s="5" t="s">
        <v>297</v>
      </c>
      <c r="Z54" s="5" t="s">
        <v>53</v>
      </c>
      <c r="AA54" s="5" t="s">
        <v>61</v>
      </c>
      <c r="AB54" s="5" t="s">
        <v>297</v>
      </c>
      <c r="AC54" s="5" t="s">
        <v>53</v>
      </c>
      <c r="AD54" s="1" t="s">
        <v>65</v>
      </c>
      <c r="AE54" s="5" t="s">
        <v>297</v>
      </c>
      <c r="AF54" s="5" t="s">
        <v>38</v>
      </c>
    </row>
    <row r="55" spans="1:32" x14ac:dyDescent="0.35">
      <c r="A55" s="5"/>
      <c r="B55" s="13">
        <v>2033</v>
      </c>
      <c r="C55" s="5" t="s">
        <v>35</v>
      </c>
      <c r="D55" s="5" t="s">
        <v>297</v>
      </c>
      <c r="E55" s="5" t="s">
        <v>38</v>
      </c>
      <c r="F55" s="5" t="s">
        <v>43</v>
      </c>
      <c r="G55" s="7">
        <v>89</v>
      </c>
      <c r="H55" s="5" t="s">
        <v>44</v>
      </c>
      <c r="I55" s="5" t="s">
        <v>46</v>
      </c>
      <c r="J55" s="5">
        <v>99</v>
      </c>
      <c r="K55" s="5" t="s">
        <v>44</v>
      </c>
      <c r="L55" s="5" t="s">
        <v>48</v>
      </c>
      <c r="M55" s="5">
        <v>95</v>
      </c>
      <c r="N55" s="5" t="s">
        <v>44</v>
      </c>
      <c r="O55" s="5" t="s">
        <v>50</v>
      </c>
      <c r="P55" s="5">
        <v>143</v>
      </c>
      <c r="Q55" s="5" t="s">
        <v>44</v>
      </c>
      <c r="R55" s="5" t="s">
        <v>52</v>
      </c>
      <c r="S55" s="5" t="s">
        <v>297</v>
      </c>
      <c r="T55" s="5" t="s">
        <v>53</v>
      </c>
      <c r="U55" s="5" t="s">
        <v>57</v>
      </c>
      <c r="V55" s="5" t="s">
        <v>297</v>
      </c>
      <c r="W55" s="5" t="s">
        <v>53</v>
      </c>
      <c r="X55" s="5" t="s">
        <v>59</v>
      </c>
      <c r="Y55" s="5" t="s">
        <v>297</v>
      </c>
      <c r="Z55" s="5" t="s">
        <v>53</v>
      </c>
      <c r="AA55" s="5" t="s">
        <v>61</v>
      </c>
      <c r="AB55" s="5" t="s">
        <v>297</v>
      </c>
      <c r="AC55" s="5" t="s">
        <v>53</v>
      </c>
      <c r="AD55" s="1" t="s">
        <v>65</v>
      </c>
      <c r="AE55" s="5" t="s">
        <v>297</v>
      </c>
      <c r="AF55" s="5" t="s">
        <v>38</v>
      </c>
    </row>
    <row r="56" spans="1:32" x14ac:dyDescent="0.35">
      <c r="A56" s="5"/>
      <c r="B56" s="13">
        <v>2034</v>
      </c>
      <c r="C56" s="5" t="s">
        <v>35</v>
      </c>
      <c r="D56" s="5" t="s">
        <v>297</v>
      </c>
      <c r="E56" s="5" t="s">
        <v>38</v>
      </c>
      <c r="F56" s="5" t="s">
        <v>43</v>
      </c>
      <c r="G56" s="7">
        <v>91</v>
      </c>
      <c r="H56" s="5" t="s">
        <v>44</v>
      </c>
      <c r="I56" s="5" t="s">
        <v>46</v>
      </c>
      <c r="J56" s="5">
        <v>99</v>
      </c>
      <c r="K56" s="5" t="s">
        <v>44</v>
      </c>
      <c r="L56" s="5" t="s">
        <v>48</v>
      </c>
      <c r="M56" s="5">
        <v>96</v>
      </c>
      <c r="N56" s="5" t="s">
        <v>44</v>
      </c>
      <c r="O56" s="5" t="s">
        <v>50</v>
      </c>
      <c r="P56" s="5">
        <v>144</v>
      </c>
      <c r="Q56" s="5" t="s">
        <v>44</v>
      </c>
      <c r="R56" s="5" t="s">
        <v>52</v>
      </c>
      <c r="S56" s="5" t="s">
        <v>297</v>
      </c>
      <c r="T56" s="5" t="s">
        <v>53</v>
      </c>
      <c r="U56" s="5" t="s">
        <v>57</v>
      </c>
      <c r="V56" s="5" t="s">
        <v>297</v>
      </c>
      <c r="W56" s="5" t="s">
        <v>53</v>
      </c>
      <c r="X56" s="5" t="s">
        <v>59</v>
      </c>
      <c r="Y56" s="5" t="s">
        <v>297</v>
      </c>
      <c r="Z56" s="5" t="s">
        <v>53</v>
      </c>
      <c r="AA56" s="5" t="s">
        <v>61</v>
      </c>
      <c r="AB56" s="5" t="s">
        <v>297</v>
      </c>
      <c r="AC56" s="5" t="s">
        <v>53</v>
      </c>
      <c r="AD56" s="1" t="s">
        <v>65</v>
      </c>
      <c r="AE56" s="5" t="s">
        <v>297</v>
      </c>
      <c r="AF56" s="5" t="s">
        <v>38</v>
      </c>
    </row>
    <row r="57" spans="1:32" x14ac:dyDescent="0.35">
      <c r="A57" s="5"/>
      <c r="B57" s="13">
        <v>2035</v>
      </c>
      <c r="C57" s="5" t="s">
        <v>35</v>
      </c>
      <c r="D57" s="5">
        <v>153.25492</v>
      </c>
      <c r="E57" s="5" t="s">
        <v>38</v>
      </c>
      <c r="F57" s="5" t="s">
        <v>43</v>
      </c>
      <c r="G57" s="7">
        <v>93</v>
      </c>
      <c r="H57" s="5" t="s">
        <v>44</v>
      </c>
      <c r="I57" s="5" t="s">
        <v>46</v>
      </c>
      <c r="J57" s="5">
        <v>98</v>
      </c>
      <c r="K57" s="5" t="s">
        <v>44</v>
      </c>
      <c r="L57" s="5" t="s">
        <v>48</v>
      </c>
      <c r="M57" s="5">
        <v>97</v>
      </c>
      <c r="N57" s="5" t="s">
        <v>44</v>
      </c>
      <c r="O57" s="5" t="s">
        <v>50</v>
      </c>
      <c r="P57" s="5">
        <v>145</v>
      </c>
      <c r="Q57" s="5" t="s">
        <v>44</v>
      </c>
      <c r="R57" s="5" t="s">
        <v>52</v>
      </c>
      <c r="S57" s="5">
        <v>21</v>
      </c>
      <c r="T57" s="5" t="s">
        <v>53</v>
      </c>
      <c r="U57" s="5" t="s">
        <v>57</v>
      </c>
      <c r="V57" s="5">
        <v>29.4</v>
      </c>
      <c r="W57" s="5" t="s">
        <v>53</v>
      </c>
      <c r="X57" s="5" t="s">
        <v>59</v>
      </c>
      <c r="Y57" s="5">
        <v>36</v>
      </c>
      <c r="Z57" s="5" t="s">
        <v>53</v>
      </c>
      <c r="AA57" s="5" t="s">
        <v>61</v>
      </c>
      <c r="AB57" s="5">
        <v>11.6</v>
      </c>
      <c r="AC57" s="5" t="s">
        <v>53</v>
      </c>
      <c r="AD57" s="1" t="s">
        <v>65</v>
      </c>
      <c r="AE57" s="5" t="s">
        <v>297</v>
      </c>
      <c r="AF57" s="5" t="s">
        <v>38</v>
      </c>
    </row>
    <row r="58" spans="1:32" x14ac:dyDescent="0.35">
      <c r="A58" s="5"/>
      <c r="B58" s="13">
        <v>2036</v>
      </c>
      <c r="C58" s="5" t="s">
        <v>35</v>
      </c>
      <c r="D58" s="5" t="s">
        <v>297</v>
      </c>
      <c r="E58" s="5" t="s">
        <v>38</v>
      </c>
      <c r="F58" s="5" t="s">
        <v>43</v>
      </c>
      <c r="G58" s="7">
        <v>94</v>
      </c>
      <c r="H58" s="5" t="s">
        <v>44</v>
      </c>
      <c r="I58" s="5" t="s">
        <v>46</v>
      </c>
      <c r="J58" s="5">
        <v>98</v>
      </c>
      <c r="K58" s="5" t="s">
        <v>44</v>
      </c>
      <c r="L58" s="5" t="s">
        <v>48</v>
      </c>
      <c r="M58" s="5">
        <v>98</v>
      </c>
      <c r="N58" s="5" t="s">
        <v>44</v>
      </c>
      <c r="O58" s="5" t="s">
        <v>50</v>
      </c>
      <c r="P58" s="5">
        <v>146</v>
      </c>
      <c r="Q58" s="5" t="s">
        <v>44</v>
      </c>
      <c r="R58" s="5" t="s">
        <v>52</v>
      </c>
      <c r="S58" s="5" t="s">
        <v>297</v>
      </c>
      <c r="T58" s="5" t="s">
        <v>53</v>
      </c>
      <c r="U58" s="5" t="s">
        <v>57</v>
      </c>
      <c r="V58" s="5" t="s">
        <v>297</v>
      </c>
      <c r="W58" s="5" t="s">
        <v>53</v>
      </c>
      <c r="X58" s="5" t="s">
        <v>59</v>
      </c>
      <c r="Y58" s="5" t="s">
        <v>297</v>
      </c>
      <c r="Z58" s="5" t="s">
        <v>53</v>
      </c>
      <c r="AA58" s="5" t="s">
        <v>61</v>
      </c>
      <c r="AB58" s="5" t="s">
        <v>297</v>
      </c>
      <c r="AC58" s="5" t="s">
        <v>53</v>
      </c>
      <c r="AD58" s="1" t="s">
        <v>65</v>
      </c>
      <c r="AE58" s="5" t="s">
        <v>297</v>
      </c>
      <c r="AF58" s="5" t="s">
        <v>38</v>
      </c>
    </row>
    <row r="59" spans="1:32" x14ac:dyDescent="0.35">
      <c r="A59" s="5"/>
      <c r="B59" s="13">
        <v>2037</v>
      </c>
      <c r="C59" s="5" t="s">
        <v>35</v>
      </c>
      <c r="D59" s="5" t="s">
        <v>297</v>
      </c>
      <c r="E59" s="5" t="s">
        <v>38</v>
      </c>
      <c r="F59" s="5" t="s">
        <v>43</v>
      </c>
      <c r="G59" s="7">
        <v>94</v>
      </c>
      <c r="H59" s="5" t="s">
        <v>44</v>
      </c>
      <c r="I59" s="5" t="s">
        <v>46</v>
      </c>
      <c r="J59" s="5">
        <v>98</v>
      </c>
      <c r="K59" s="5" t="s">
        <v>44</v>
      </c>
      <c r="L59" s="5" t="s">
        <v>48</v>
      </c>
      <c r="M59" s="5">
        <v>98</v>
      </c>
      <c r="N59" s="5" t="s">
        <v>44</v>
      </c>
      <c r="O59" s="5" t="s">
        <v>50</v>
      </c>
      <c r="P59" s="5">
        <v>147</v>
      </c>
      <c r="Q59" s="5" t="s">
        <v>44</v>
      </c>
      <c r="R59" s="5" t="s">
        <v>52</v>
      </c>
      <c r="S59" s="5" t="s">
        <v>297</v>
      </c>
      <c r="T59" s="5" t="s">
        <v>53</v>
      </c>
      <c r="U59" s="5" t="s">
        <v>57</v>
      </c>
      <c r="V59" s="5" t="s">
        <v>297</v>
      </c>
      <c r="W59" s="5" t="s">
        <v>53</v>
      </c>
      <c r="X59" s="5" t="s">
        <v>59</v>
      </c>
      <c r="Y59" s="5" t="s">
        <v>297</v>
      </c>
      <c r="Z59" s="5" t="s">
        <v>53</v>
      </c>
      <c r="AA59" s="5" t="s">
        <v>61</v>
      </c>
      <c r="AB59" s="5" t="s">
        <v>297</v>
      </c>
      <c r="AC59" s="5" t="s">
        <v>53</v>
      </c>
      <c r="AD59" s="1" t="s">
        <v>65</v>
      </c>
      <c r="AE59" s="5" t="s">
        <v>297</v>
      </c>
      <c r="AF59" s="5" t="s">
        <v>38</v>
      </c>
    </row>
    <row r="60" spans="1:32" x14ac:dyDescent="0.35">
      <c r="A60" s="5"/>
      <c r="B60" s="13">
        <v>2038</v>
      </c>
      <c r="C60" s="5" t="s">
        <v>35</v>
      </c>
      <c r="D60" s="5" t="s">
        <v>297</v>
      </c>
      <c r="E60" s="5" t="s">
        <v>38</v>
      </c>
      <c r="F60" s="5" t="s">
        <v>43</v>
      </c>
      <c r="G60" s="7">
        <v>94</v>
      </c>
      <c r="H60" s="5" t="s">
        <v>44</v>
      </c>
      <c r="I60" s="5" t="s">
        <v>46</v>
      </c>
      <c r="J60" s="5">
        <v>96</v>
      </c>
      <c r="K60" s="5" t="s">
        <v>44</v>
      </c>
      <c r="L60" s="5" t="s">
        <v>48</v>
      </c>
      <c r="M60" s="5">
        <v>100</v>
      </c>
      <c r="N60" s="5" t="s">
        <v>44</v>
      </c>
      <c r="O60" s="5" t="s">
        <v>50</v>
      </c>
      <c r="P60" s="5">
        <v>147</v>
      </c>
      <c r="Q60" s="5" t="s">
        <v>44</v>
      </c>
      <c r="R60" s="5" t="s">
        <v>52</v>
      </c>
      <c r="S60" s="5" t="s">
        <v>297</v>
      </c>
      <c r="T60" s="5" t="s">
        <v>53</v>
      </c>
      <c r="U60" s="5" t="s">
        <v>57</v>
      </c>
      <c r="V60" s="5" t="s">
        <v>297</v>
      </c>
      <c r="W60" s="5" t="s">
        <v>53</v>
      </c>
      <c r="X60" s="5" t="s">
        <v>59</v>
      </c>
      <c r="Y60" s="5" t="s">
        <v>297</v>
      </c>
      <c r="Z60" s="5" t="s">
        <v>53</v>
      </c>
      <c r="AA60" s="5" t="s">
        <v>61</v>
      </c>
      <c r="AB60" s="5" t="s">
        <v>297</v>
      </c>
      <c r="AC60" s="5" t="s">
        <v>53</v>
      </c>
      <c r="AD60" s="1" t="s">
        <v>65</v>
      </c>
      <c r="AE60" s="5" t="s">
        <v>297</v>
      </c>
      <c r="AF60" s="5" t="s">
        <v>38</v>
      </c>
    </row>
    <row r="61" spans="1:32" x14ac:dyDescent="0.35">
      <c r="A61" s="5"/>
      <c r="B61" s="13">
        <v>2039</v>
      </c>
      <c r="C61" s="5" t="s">
        <v>35</v>
      </c>
      <c r="D61" s="5" t="s">
        <v>297</v>
      </c>
      <c r="E61" s="5" t="s">
        <v>38</v>
      </c>
      <c r="F61" s="5" t="s">
        <v>43</v>
      </c>
      <c r="G61" s="7">
        <v>94</v>
      </c>
      <c r="H61" s="5" t="s">
        <v>44</v>
      </c>
      <c r="I61" s="5" t="s">
        <v>46</v>
      </c>
      <c r="J61" s="5">
        <v>96</v>
      </c>
      <c r="K61" s="5" t="s">
        <v>44</v>
      </c>
      <c r="L61" s="5" t="s">
        <v>48</v>
      </c>
      <c r="M61" s="5">
        <v>100</v>
      </c>
      <c r="N61" s="5" t="s">
        <v>44</v>
      </c>
      <c r="O61" s="5" t="s">
        <v>50</v>
      </c>
      <c r="P61" s="5">
        <v>148</v>
      </c>
      <c r="Q61" s="5" t="s">
        <v>44</v>
      </c>
      <c r="R61" s="5" t="s">
        <v>52</v>
      </c>
      <c r="S61" s="5" t="s">
        <v>297</v>
      </c>
      <c r="T61" s="5" t="s">
        <v>53</v>
      </c>
      <c r="U61" s="5" t="s">
        <v>57</v>
      </c>
      <c r="V61" s="5" t="s">
        <v>297</v>
      </c>
      <c r="W61" s="5" t="s">
        <v>53</v>
      </c>
      <c r="X61" s="5" t="s">
        <v>59</v>
      </c>
      <c r="Y61" s="5" t="s">
        <v>297</v>
      </c>
      <c r="Z61" s="5" t="s">
        <v>53</v>
      </c>
      <c r="AA61" s="5" t="s">
        <v>61</v>
      </c>
      <c r="AB61" s="5" t="s">
        <v>297</v>
      </c>
      <c r="AC61" s="5" t="s">
        <v>53</v>
      </c>
      <c r="AD61" s="1" t="s">
        <v>65</v>
      </c>
      <c r="AE61" s="5" t="s">
        <v>297</v>
      </c>
      <c r="AF61" s="5" t="s">
        <v>38</v>
      </c>
    </row>
    <row r="62" spans="1:32" x14ac:dyDescent="0.35">
      <c r="A62" s="5"/>
      <c r="B62" s="13">
        <v>2040</v>
      </c>
      <c r="C62" s="5" t="s">
        <v>35</v>
      </c>
      <c r="D62" s="5">
        <v>154.18</v>
      </c>
      <c r="E62" s="5" t="s">
        <v>38</v>
      </c>
      <c r="F62" s="5" t="s">
        <v>43</v>
      </c>
      <c r="G62" s="7">
        <v>94</v>
      </c>
      <c r="H62" s="5" t="s">
        <v>44</v>
      </c>
      <c r="I62" s="5" t="s">
        <v>46</v>
      </c>
      <c r="J62" s="5">
        <v>95</v>
      </c>
      <c r="K62" s="5" t="s">
        <v>44</v>
      </c>
      <c r="L62" s="5" t="s">
        <v>48</v>
      </c>
      <c r="M62" s="5">
        <v>101</v>
      </c>
      <c r="N62" s="5" t="s">
        <v>44</v>
      </c>
      <c r="O62" s="5" t="s">
        <v>50</v>
      </c>
      <c r="P62" s="5">
        <v>149</v>
      </c>
      <c r="Q62" s="5" t="s">
        <v>44</v>
      </c>
      <c r="R62" s="5" t="s">
        <v>52</v>
      </c>
      <c r="S62" s="5">
        <v>16.899999999999999</v>
      </c>
      <c r="T62" s="5" t="s">
        <v>53</v>
      </c>
      <c r="U62" s="5" t="s">
        <v>57</v>
      </c>
      <c r="V62" s="5">
        <v>27.6</v>
      </c>
      <c r="W62" s="5" t="s">
        <v>53</v>
      </c>
      <c r="X62" s="5" t="s">
        <v>59</v>
      </c>
      <c r="Y62" s="5">
        <v>37.799999999999997</v>
      </c>
      <c r="Z62" s="5" t="s">
        <v>53</v>
      </c>
      <c r="AA62" s="5" t="s">
        <v>61</v>
      </c>
      <c r="AB62" s="5">
        <v>11.4</v>
      </c>
      <c r="AC62" s="5" t="s">
        <v>53</v>
      </c>
      <c r="AD62" s="1" t="s">
        <v>65</v>
      </c>
      <c r="AE62" s="5" t="s">
        <v>297</v>
      </c>
      <c r="AF62" s="5" t="s">
        <v>38</v>
      </c>
    </row>
    <row r="63" spans="1:32" x14ac:dyDescent="0.35">
      <c r="A63" s="5"/>
      <c r="B63" s="13">
        <v>2041</v>
      </c>
      <c r="C63" s="5" t="s">
        <v>35</v>
      </c>
      <c r="D63" s="5" t="s">
        <v>297</v>
      </c>
      <c r="E63" s="5" t="s">
        <v>38</v>
      </c>
      <c r="F63" s="5" t="s">
        <v>43</v>
      </c>
      <c r="G63" s="7">
        <v>95</v>
      </c>
      <c r="H63" s="5" t="s">
        <v>44</v>
      </c>
      <c r="I63" s="5" t="s">
        <v>46</v>
      </c>
      <c r="J63" s="5">
        <v>94</v>
      </c>
      <c r="K63" s="5" t="s">
        <v>44</v>
      </c>
      <c r="L63" s="5" t="s">
        <v>48</v>
      </c>
      <c r="M63" s="5">
        <v>103</v>
      </c>
      <c r="N63" s="5" t="s">
        <v>44</v>
      </c>
      <c r="O63" s="5" t="s">
        <v>50</v>
      </c>
      <c r="P63" s="5">
        <v>150</v>
      </c>
      <c r="Q63" s="5" t="s">
        <v>44</v>
      </c>
      <c r="R63" s="5" t="s">
        <v>52</v>
      </c>
      <c r="S63" s="5" t="s">
        <v>297</v>
      </c>
      <c r="T63" s="5" t="s">
        <v>53</v>
      </c>
      <c r="U63" s="5" t="s">
        <v>57</v>
      </c>
      <c r="V63" s="5" t="s">
        <v>297</v>
      </c>
      <c r="W63" s="5" t="s">
        <v>53</v>
      </c>
      <c r="X63" s="5" t="s">
        <v>59</v>
      </c>
      <c r="Y63" s="5" t="s">
        <v>297</v>
      </c>
      <c r="Z63" s="5" t="s">
        <v>53</v>
      </c>
      <c r="AA63" s="5" t="s">
        <v>61</v>
      </c>
      <c r="AB63" s="5" t="s">
        <v>297</v>
      </c>
      <c r="AC63" s="5" t="s">
        <v>53</v>
      </c>
      <c r="AD63" s="1" t="s">
        <v>65</v>
      </c>
      <c r="AE63" s="5" t="s">
        <v>297</v>
      </c>
      <c r="AF63" s="5" t="s">
        <v>38</v>
      </c>
    </row>
    <row r="64" spans="1:32" x14ac:dyDescent="0.35">
      <c r="A64" s="5"/>
      <c r="B64" s="13">
        <v>2042</v>
      </c>
      <c r="C64" s="5" t="s">
        <v>35</v>
      </c>
      <c r="D64" s="5" t="s">
        <v>297</v>
      </c>
      <c r="E64" s="5" t="s">
        <v>38</v>
      </c>
      <c r="F64" s="5" t="s">
        <v>43</v>
      </c>
      <c r="G64" s="7">
        <v>95</v>
      </c>
      <c r="H64" s="5" t="s">
        <v>44</v>
      </c>
      <c r="I64" s="5" t="s">
        <v>46</v>
      </c>
      <c r="J64" s="5">
        <v>93</v>
      </c>
      <c r="K64" s="5" t="s">
        <v>44</v>
      </c>
      <c r="L64" s="5" t="s">
        <v>48</v>
      </c>
      <c r="M64" s="5">
        <v>104</v>
      </c>
      <c r="N64" s="5" t="s">
        <v>44</v>
      </c>
      <c r="O64" s="5" t="s">
        <v>50</v>
      </c>
      <c r="P64" s="5">
        <v>151</v>
      </c>
      <c r="Q64" s="5" t="s">
        <v>44</v>
      </c>
      <c r="R64" s="5" t="s">
        <v>52</v>
      </c>
      <c r="S64" s="5" t="s">
        <v>297</v>
      </c>
      <c r="T64" s="5" t="s">
        <v>53</v>
      </c>
      <c r="U64" s="5" t="s">
        <v>57</v>
      </c>
      <c r="V64" s="5" t="s">
        <v>297</v>
      </c>
      <c r="W64" s="5" t="s">
        <v>53</v>
      </c>
      <c r="X64" s="5" t="s">
        <v>59</v>
      </c>
      <c r="Y64" s="5" t="s">
        <v>297</v>
      </c>
      <c r="Z64" s="5" t="s">
        <v>53</v>
      </c>
      <c r="AA64" s="5" t="s">
        <v>61</v>
      </c>
      <c r="AB64" s="5" t="s">
        <v>297</v>
      </c>
      <c r="AC64" s="5" t="s">
        <v>53</v>
      </c>
      <c r="AD64" s="1" t="s">
        <v>65</v>
      </c>
      <c r="AE64" s="5" t="s">
        <v>297</v>
      </c>
      <c r="AF64" s="5" t="s">
        <v>38</v>
      </c>
    </row>
    <row r="65" spans="1:32" x14ac:dyDescent="0.35">
      <c r="A65" s="5"/>
      <c r="B65" s="13">
        <v>2043</v>
      </c>
      <c r="C65" s="5" t="s">
        <v>35</v>
      </c>
      <c r="D65" s="5" t="s">
        <v>297</v>
      </c>
      <c r="E65" s="5" t="s">
        <v>38</v>
      </c>
      <c r="F65" s="5" t="s">
        <v>43</v>
      </c>
      <c r="G65" s="7">
        <v>96</v>
      </c>
      <c r="H65" s="5" t="s">
        <v>44</v>
      </c>
      <c r="I65" s="5" t="s">
        <v>46</v>
      </c>
      <c r="J65" s="5">
        <v>93</v>
      </c>
      <c r="K65" s="5" t="s">
        <v>44</v>
      </c>
      <c r="L65" s="5" t="s">
        <v>48</v>
      </c>
      <c r="M65" s="5">
        <v>105</v>
      </c>
      <c r="N65" s="5" t="s">
        <v>44</v>
      </c>
      <c r="O65" s="5" t="s">
        <v>50</v>
      </c>
      <c r="P65" s="5">
        <v>153</v>
      </c>
      <c r="Q65" s="5" t="s">
        <v>44</v>
      </c>
      <c r="R65" s="5" t="s">
        <v>52</v>
      </c>
      <c r="S65" s="5" t="s">
        <v>297</v>
      </c>
      <c r="T65" s="5" t="s">
        <v>53</v>
      </c>
      <c r="U65" s="5" t="s">
        <v>57</v>
      </c>
      <c r="V65" s="5" t="s">
        <v>297</v>
      </c>
      <c r="W65" s="5" t="s">
        <v>53</v>
      </c>
      <c r="X65" s="5" t="s">
        <v>59</v>
      </c>
      <c r="Y65" s="5" t="s">
        <v>297</v>
      </c>
      <c r="Z65" s="5" t="s">
        <v>53</v>
      </c>
      <c r="AA65" s="5" t="s">
        <v>61</v>
      </c>
      <c r="AB65" s="5" t="s">
        <v>297</v>
      </c>
      <c r="AC65" s="5" t="s">
        <v>53</v>
      </c>
      <c r="AD65" s="1" t="s">
        <v>65</v>
      </c>
      <c r="AE65" s="5" t="s">
        <v>297</v>
      </c>
      <c r="AF65" s="5" t="s">
        <v>38</v>
      </c>
    </row>
    <row r="66" spans="1:32" x14ac:dyDescent="0.35">
      <c r="A66" s="5"/>
      <c r="B66" s="13">
        <v>2044</v>
      </c>
      <c r="C66" s="5" t="s">
        <v>35</v>
      </c>
      <c r="D66" s="5" t="s">
        <v>297</v>
      </c>
      <c r="E66" s="5" t="s">
        <v>38</v>
      </c>
      <c r="F66" s="5" t="s">
        <v>43</v>
      </c>
      <c r="G66" s="7">
        <v>97</v>
      </c>
      <c r="H66" s="5" t="s">
        <v>44</v>
      </c>
      <c r="I66" s="5" t="s">
        <v>46</v>
      </c>
      <c r="J66" s="5">
        <v>88</v>
      </c>
      <c r="K66" s="5" t="s">
        <v>44</v>
      </c>
      <c r="L66" s="5" t="s">
        <v>48</v>
      </c>
      <c r="M66" s="5">
        <v>107</v>
      </c>
      <c r="N66" s="5" t="s">
        <v>44</v>
      </c>
      <c r="O66" s="5" t="s">
        <v>50</v>
      </c>
      <c r="P66" s="5">
        <v>154</v>
      </c>
      <c r="Q66" s="5" t="s">
        <v>44</v>
      </c>
      <c r="R66" s="5" t="s">
        <v>52</v>
      </c>
      <c r="S66" s="5" t="s">
        <v>297</v>
      </c>
      <c r="T66" s="5" t="s">
        <v>53</v>
      </c>
      <c r="U66" s="5" t="s">
        <v>57</v>
      </c>
      <c r="V66" s="5" t="s">
        <v>297</v>
      </c>
      <c r="W66" s="5" t="s">
        <v>53</v>
      </c>
      <c r="X66" s="5" t="s">
        <v>59</v>
      </c>
      <c r="Y66" s="5" t="s">
        <v>297</v>
      </c>
      <c r="Z66" s="5" t="s">
        <v>53</v>
      </c>
      <c r="AA66" s="5" t="s">
        <v>61</v>
      </c>
      <c r="AB66" s="5" t="s">
        <v>297</v>
      </c>
      <c r="AC66" s="5" t="s">
        <v>53</v>
      </c>
      <c r="AD66" s="1" t="s">
        <v>65</v>
      </c>
      <c r="AE66" s="5" t="s">
        <v>297</v>
      </c>
      <c r="AF66" s="5" t="s">
        <v>38</v>
      </c>
    </row>
    <row r="67" spans="1:32" x14ac:dyDescent="0.35">
      <c r="A67" s="5"/>
      <c r="B67" s="13">
        <v>2045</v>
      </c>
      <c r="C67" s="5" t="s">
        <v>35</v>
      </c>
      <c r="D67" s="5">
        <v>150.48561000000001</v>
      </c>
      <c r="E67" s="5" t="s">
        <v>38</v>
      </c>
      <c r="F67" s="5" t="s">
        <v>43</v>
      </c>
      <c r="G67" s="7">
        <v>98</v>
      </c>
      <c r="H67" s="5" t="s">
        <v>44</v>
      </c>
      <c r="I67" s="5" t="s">
        <v>46</v>
      </c>
      <c r="J67" s="5">
        <v>89</v>
      </c>
      <c r="K67" s="5" t="s">
        <v>44</v>
      </c>
      <c r="L67" s="5" t="s">
        <v>48</v>
      </c>
      <c r="M67" s="5">
        <v>107</v>
      </c>
      <c r="N67" s="5" t="s">
        <v>44</v>
      </c>
      <c r="O67" s="5" t="s">
        <v>50</v>
      </c>
      <c r="P67" s="5">
        <v>154</v>
      </c>
      <c r="Q67" s="5" t="s">
        <v>44</v>
      </c>
      <c r="R67" s="5" t="s">
        <v>52</v>
      </c>
      <c r="S67" s="5">
        <v>13</v>
      </c>
      <c r="T67" s="5" t="s">
        <v>53</v>
      </c>
      <c r="U67" s="5" t="s">
        <v>57</v>
      </c>
      <c r="V67" s="5">
        <v>25.7</v>
      </c>
      <c r="W67" s="5" t="s">
        <v>53</v>
      </c>
      <c r="X67" s="5" t="s">
        <v>59</v>
      </c>
      <c r="Y67" s="5">
        <v>39.5</v>
      </c>
      <c r="Z67" s="5" t="s">
        <v>53</v>
      </c>
      <c r="AA67" s="5" t="s">
        <v>61</v>
      </c>
      <c r="AB67" s="5">
        <v>11.2</v>
      </c>
      <c r="AC67" s="5" t="s">
        <v>53</v>
      </c>
      <c r="AD67" s="1" t="s">
        <v>65</v>
      </c>
      <c r="AE67" s="5" t="s">
        <v>297</v>
      </c>
      <c r="AF67" s="5" t="s">
        <v>38</v>
      </c>
    </row>
    <row r="68" spans="1:32" x14ac:dyDescent="0.35">
      <c r="A68" s="5"/>
      <c r="B68" s="13">
        <v>2046</v>
      </c>
      <c r="C68" s="5" t="s">
        <v>35</v>
      </c>
      <c r="D68" s="5" t="s">
        <v>297</v>
      </c>
      <c r="E68" s="5" t="s">
        <v>38</v>
      </c>
      <c r="F68" s="5" t="s">
        <v>43</v>
      </c>
      <c r="G68" s="7">
        <v>99</v>
      </c>
      <c r="H68" s="5" t="s">
        <v>44</v>
      </c>
      <c r="I68" s="5" t="s">
        <v>46</v>
      </c>
      <c r="J68" s="5">
        <v>87</v>
      </c>
      <c r="K68" s="5" t="s">
        <v>44</v>
      </c>
      <c r="L68" s="5" t="s">
        <v>48</v>
      </c>
      <c r="M68" s="5">
        <v>109</v>
      </c>
      <c r="N68" s="5" t="s">
        <v>44</v>
      </c>
      <c r="O68" s="5" t="s">
        <v>50</v>
      </c>
      <c r="P68" s="5">
        <v>156</v>
      </c>
      <c r="Q68" s="5" t="s">
        <v>44</v>
      </c>
      <c r="R68" s="5" t="s">
        <v>52</v>
      </c>
      <c r="S68" s="5" t="s">
        <v>297</v>
      </c>
      <c r="T68" s="5" t="s">
        <v>53</v>
      </c>
      <c r="U68" s="5" t="s">
        <v>57</v>
      </c>
      <c r="V68" s="5" t="s">
        <v>297</v>
      </c>
      <c r="W68" s="5" t="s">
        <v>53</v>
      </c>
      <c r="X68" s="5" t="s">
        <v>59</v>
      </c>
      <c r="Y68" s="5" t="s">
        <v>297</v>
      </c>
      <c r="Z68" s="5" t="s">
        <v>53</v>
      </c>
      <c r="AA68" s="5" t="s">
        <v>61</v>
      </c>
      <c r="AB68" s="5" t="s">
        <v>297</v>
      </c>
      <c r="AC68" s="5" t="s">
        <v>53</v>
      </c>
      <c r="AD68" s="1" t="s">
        <v>65</v>
      </c>
      <c r="AE68" s="5" t="s">
        <v>297</v>
      </c>
      <c r="AF68" s="5" t="s">
        <v>38</v>
      </c>
    </row>
    <row r="69" spans="1:32" x14ac:dyDescent="0.35">
      <c r="A69" s="5"/>
      <c r="B69" s="13">
        <v>2047</v>
      </c>
      <c r="C69" s="5" t="s">
        <v>35</v>
      </c>
      <c r="D69" s="5" t="s">
        <v>297</v>
      </c>
      <c r="E69" s="5" t="s">
        <v>38</v>
      </c>
      <c r="F69" s="5" t="s">
        <v>43</v>
      </c>
      <c r="G69" s="7">
        <v>100</v>
      </c>
      <c r="H69" s="5" t="s">
        <v>44</v>
      </c>
      <c r="I69" s="5" t="s">
        <v>46</v>
      </c>
      <c r="J69" s="5">
        <v>88</v>
      </c>
      <c r="K69" s="5" t="s">
        <v>44</v>
      </c>
      <c r="L69" s="5" t="s">
        <v>48</v>
      </c>
      <c r="M69" s="5">
        <v>112</v>
      </c>
      <c r="N69" s="5" t="s">
        <v>44</v>
      </c>
      <c r="O69" s="5" t="s">
        <v>50</v>
      </c>
      <c r="P69" s="5">
        <v>158</v>
      </c>
      <c r="Q69" s="5" t="s">
        <v>44</v>
      </c>
      <c r="R69" s="5" t="s">
        <v>52</v>
      </c>
      <c r="S69" s="5" t="s">
        <v>297</v>
      </c>
      <c r="T69" s="5" t="s">
        <v>53</v>
      </c>
      <c r="U69" s="5" t="s">
        <v>57</v>
      </c>
      <c r="V69" s="5" t="s">
        <v>297</v>
      </c>
      <c r="W69" s="5" t="s">
        <v>53</v>
      </c>
      <c r="X69" s="5" t="s">
        <v>59</v>
      </c>
      <c r="Y69" s="5" t="s">
        <v>297</v>
      </c>
      <c r="Z69" s="5" t="s">
        <v>53</v>
      </c>
      <c r="AA69" s="5" t="s">
        <v>61</v>
      </c>
      <c r="AB69" s="5" t="s">
        <v>297</v>
      </c>
      <c r="AC69" s="5" t="s">
        <v>53</v>
      </c>
      <c r="AD69" s="1" t="s">
        <v>65</v>
      </c>
      <c r="AE69" s="5" t="s">
        <v>297</v>
      </c>
      <c r="AF69" s="5" t="s">
        <v>38</v>
      </c>
    </row>
    <row r="70" spans="1:32" x14ac:dyDescent="0.35">
      <c r="A70" s="5"/>
      <c r="B70" s="13">
        <v>2048</v>
      </c>
      <c r="C70" s="5" t="s">
        <v>35</v>
      </c>
      <c r="D70" s="5" t="s">
        <v>297</v>
      </c>
      <c r="E70" s="5" t="s">
        <v>38</v>
      </c>
      <c r="F70" s="5" t="s">
        <v>43</v>
      </c>
      <c r="G70" s="7">
        <v>101</v>
      </c>
      <c r="H70" s="5" t="s">
        <v>44</v>
      </c>
      <c r="I70" s="5" t="s">
        <v>46</v>
      </c>
      <c r="J70" s="5">
        <v>89</v>
      </c>
      <c r="K70" s="5" t="s">
        <v>44</v>
      </c>
      <c r="L70" s="5" t="s">
        <v>48</v>
      </c>
      <c r="M70" s="5">
        <v>112</v>
      </c>
      <c r="N70" s="5" t="s">
        <v>44</v>
      </c>
      <c r="O70" s="5" t="s">
        <v>50</v>
      </c>
      <c r="P70" s="5">
        <v>158</v>
      </c>
      <c r="Q70" s="5" t="s">
        <v>44</v>
      </c>
      <c r="R70" s="5" t="s">
        <v>52</v>
      </c>
      <c r="S70" s="5" t="s">
        <v>297</v>
      </c>
      <c r="T70" s="5" t="s">
        <v>53</v>
      </c>
      <c r="U70" s="5" t="s">
        <v>57</v>
      </c>
      <c r="V70" s="5" t="s">
        <v>297</v>
      </c>
      <c r="W70" s="5" t="s">
        <v>53</v>
      </c>
      <c r="X70" s="5" t="s">
        <v>59</v>
      </c>
      <c r="Y70" s="5" t="s">
        <v>297</v>
      </c>
      <c r="Z70" s="5" t="s">
        <v>53</v>
      </c>
      <c r="AA70" s="5" t="s">
        <v>61</v>
      </c>
      <c r="AB70" s="5" t="s">
        <v>297</v>
      </c>
      <c r="AC70" s="5" t="s">
        <v>53</v>
      </c>
      <c r="AD70" s="1" t="s">
        <v>65</v>
      </c>
      <c r="AE70" s="5" t="s">
        <v>297</v>
      </c>
      <c r="AF70" s="5" t="s">
        <v>38</v>
      </c>
    </row>
    <row r="71" spans="1:32" x14ac:dyDescent="0.35">
      <c r="A71" s="5"/>
      <c r="B71" s="13">
        <v>2049</v>
      </c>
      <c r="C71" s="5" t="s">
        <v>35</v>
      </c>
      <c r="D71" s="5" t="s">
        <v>297</v>
      </c>
      <c r="E71" s="5" t="s">
        <v>38</v>
      </c>
      <c r="F71" s="5" t="s">
        <v>43</v>
      </c>
      <c r="G71" s="7">
        <v>102</v>
      </c>
      <c r="H71" s="5" t="s">
        <v>44</v>
      </c>
      <c r="I71" s="5" t="s">
        <v>46</v>
      </c>
      <c r="J71" s="5">
        <v>89</v>
      </c>
      <c r="K71" s="5" t="s">
        <v>44</v>
      </c>
      <c r="L71" s="5" t="s">
        <v>48</v>
      </c>
      <c r="M71" s="5">
        <v>112</v>
      </c>
      <c r="N71" s="5" t="s">
        <v>44</v>
      </c>
      <c r="O71" s="5" t="s">
        <v>50</v>
      </c>
      <c r="P71" s="5">
        <v>158</v>
      </c>
      <c r="Q71" s="5" t="s">
        <v>44</v>
      </c>
      <c r="R71" s="5" t="s">
        <v>52</v>
      </c>
      <c r="S71" s="5" t="s">
        <v>297</v>
      </c>
      <c r="T71" s="5" t="s">
        <v>53</v>
      </c>
      <c r="U71" s="5" t="s">
        <v>57</v>
      </c>
      <c r="V71" s="5" t="s">
        <v>297</v>
      </c>
      <c r="W71" s="5" t="s">
        <v>53</v>
      </c>
      <c r="X71" s="5" t="s">
        <v>59</v>
      </c>
      <c r="Y71" s="5" t="s">
        <v>297</v>
      </c>
      <c r="Z71" s="5" t="s">
        <v>53</v>
      </c>
      <c r="AA71" s="5" t="s">
        <v>61</v>
      </c>
      <c r="AB71" s="5" t="s">
        <v>297</v>
      </c>
      <c r="AC71" s="5" t="s">
        <v>53</v>
      </c>
      <c r="AD71" s="1" t="s">
        <v>65</v>
      </c>
      <c r="AE71" s="5" t="s">
        <v>297</v>
      </c>
      <c r="AF71" s="5" t="s">
        <v>38</v>
      </c>
    </row>
    <row r="72" spans="1:32" x14ac:dyDescent="0.35">
      <c r="A72" s="5"/>
      <c r="B72" s="13">
        <v>2050</v>
      </c>
      <c r="C72" s="5" t="s">
        <v>35</v>
      </c>
      <c r="D72" s="5">
        <v>151.41068999999999</v>
      </c>
      <c r="E72" s="5" t="s">
        <v>38</v>
      </c>
      <c r="F72" s="5" t="s">
        <v>43</v>
      </c>
      <c r="G72" s="7">
        <v>102</v>
      </c>
      <c r="H72" s="5" t="s">
        <v>44</v>
      </c>
      <c r="I72" s="5" t="s">
        <v>46</v>
      </c>
      <c r="J72" s="5">
        <v>89</v>
      </c>
      <c r="K72" s="5" t="s">
        <v>44</v>
      </c>
      <c r="L72" s="5" t="s">
        <v>48</v>
      </c>
      <c r="M72" s="5">
        <v>113</v>
      </c>
      <c r="N72" s="5" t="s">
        <v>44</v>
      </c>
      <c r="O72" s="5" t="s">
        <v>50</v>
      </c>
      <c r="P72" s="5">
        <v>159</v>
      </c>
      <c r="Q72" s="5" t="s">
        <v>44</v>
      </c>
      <c r="R72" s="5" t="s">
        <v>52</v>
      </c>
      <c r="S72" s="5">
        <v>9.1999999999999993</v>
      </c>
      <c r="T72" s="5" t="s">
        <v>53</v>
      </c>
      <c r="U72" s="5" t="s">
        <v>57</v>
      </c>
      <c r="V72" s="5">
        <v>23.8</v>
      </c>
      <c r="W72" s="5" t="s">
        <v>53</v>
      </c>
      <c r="X72" s="5" t="s">
        <v>59</v>
      </c>
      <c r="Y72" s="5">
        <v>41.2</v>
      </c>
      <c r="Z72" s="5" t="s">
        <v>53</v>
      </c>
      <c r="AA72" s="5" t="s">
        <v>61</v>
      </c>
      <c r="AB72" s="5">
        <v>10.9</v>
      </c>
      <c r="AC72" s="5" t="s">
        <v>53</v>
      </c>
      <c r="AD72" s="1" t="s">
        <v>65</v>
      </c>
      <c r="AE72" s="5">
        <v>52.8</v>
      </c>
      <c r="AF72" s="5" t="s">
        <v>38</v>
      </c>
    </row>
    <row r="73" spans="1:32" x14ac:dyDescent="0.35">
      <c r="A73" s="31" t="s">
        <v>298</v>
      </c>
      <c r="B73" s="14" t="s">
        <v>11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x14ac:dyDescent="0.3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3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35">
      <c r="A76" s="30" t="s">
        <v>299</v>
      </c>
      <c r="B76" s="12" t="s">
        <v>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x14ac:dyDescent="0.35">
      <c r="A77" s="5" t="s">
        <v>3</v>
      </c>
      <c r="B77" s="5" t="s">
        <v>78</v>
      </c>
      <c r="C77" s="5" t="s">
        <v>165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x14ac:dyDescent="0.35">
      <c r="A78" s="5"/>
      <c r="B78" s="5" t="s">
        <v>78</v>
      </c>
      <c r="C78" s="29" t="s">
        <v>88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x14ac:dyDescent="0.35">
      <c r="A79" s="5" t="s">
        <v>3</v>
      </c>
      <c r="B79" s="5" t="s">
        <v>150</v>
      </c>
      <c r="C79" s="5" t="s">
        <v>293</v>
      </c>
      <c r="D79" s="5" t="s">
        <v>294</v>
      </c>
      <c r="E79" s="7" t="s">
        <v>295</v>
      </c>
      <c r="F79" s="5" t="s">
        <v>212</v>
      </c>
      <c r="G79" s="5" t="s">
        <v>212</v>
      </c>
      <c r="H79" s="7"/>
      <c r="I79" s="5" t="s">
        <v>296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x14ac:dyDescent="0.35">
      <c r="A80" s="5"/>
      <c r="B80" s="13">
        <v>2025</v>
      </c>
      <c r="C80" s="5" t="s">
        <v>35</v>
      </c>
      <c r="D80" s="5">
        <v>154.18</v>
      </c>
      <c r="E80" s="5" t="s">
        <v>38</v>
      </c>
      <c r="F80" s="5" t="s">
        <v>43</v>
      </c>
      <c r="G80" s="7">
        <v>78</v>
      </c>
      <c r="H80" s="5" t="s">
        <v>44</v>
      </c>
      <c r="I80" s="5" t="s">
        <v>46</v>
      </c>
      <c r="J80" s="5">
        <v>111</v>
      </c>
      <c r="K80" s="5" t="s">
        <v>44</v>
      </c>
      <c r="L80" s="5" t="s">
        <v>48</v>
      </c>
      <c r="M80" s="5">
        <v>84</v>
      </c>
      <c r="N80" s="5" t="s">
        <v>44</v>
      </c>
      <c r="O80" s="5" t="s">
        <v>50</v>
      </c>
      <c r="P80" s="5">
        <v>143</v>
      </c>
      <c r="Q80" s="5" t="s">
        <v>44</v>
      </c>
      <c r="R80" s="5" t="s">
        <v>52</v>
      </c>
      <c r="S80" s="7">
        <v>43.3</v>
      </c>
      <c r="T80" s="5" t="s">
        <v>53</v>
      </c>
      <c r="U80" s="5" t="s">
        <v>57</v>
      </c>
      <c r="V80" s="5">
        <v>48.4</v>
      </c>
      <c r="W80" s="5" t="s">
        <v>53</v>
      </c>
      <c r="X80" s="5" t="s">
        <v>59</v>
      </c>
      <c r="Y80" s="5">
        <v>16.600000000000001</v>
      </c>
      <c r="Z80" s="5" t="s">
        <v>53</v>
      </c>
      <c r="AA80" s="5" t="s">
        <v>61</v>
      </c>
      <c r="AB80" s="5">
        <v>17.5</v>
      </c>
      <c r="AC80" s="5" t="s">
        <v>53</v>
      </c>
      <c r="AD80" s="1" t="s">
        <v>65</v>
      </c>
      <c r="AE80" s="5">
        <v>40.49</v>
      </c>
      <c r="AF80" s="5" t="s">
        <v>38</v>
      </c>
    </row>
    <row r="81" spans="1:32" x14ac:dyDescent="0.35">
      <c r="A81" s="5"/>
      <c r="B81" s="13">
        <v>2026</v>
      </c>
      <c r="C81" s="5" t="s">
        <v>35</v>
      </c>
      <c r="D81" s="5" t="s">
        <v>297</v>
      </c>
      <c r="E81" s="5" t="s">
        <v>38</v>
      </c>
      <c r="F81" s="5" t="s">
        <v>43</v>
      </c>
      <c r="G81" s="7">
        <v>80</v>
      </c>
      <c r="H81" s="5" t="s">
        <v>44</v>
      </c>
      <c r="I81" s="5" t="s">
        <v>46</v>
      </c>
      <c r="J81" s="5">
        <v>104</v>
      </c>
      <c r="K81" s="5" t="s">
        <v>44</v>
      </c>
      <c r="L81" s="5" t="s">
        <v>48</v>
      </c>
      <c r="M81" s="5">
        <v>82</v>
      </c>
      <c r="N81" s="5" t="s">
        <v>44</v>
      </c>
      <c r="O81" s="5" t="s">
        <v>50</v>
      </c>
      <c r="P81" s="5">
        <v>139</v>
      </c>
      <c r="Q81" s="5" t="s">
        <v>44</v>
      </c>
      <c r="R81" s="5" t="s">
        <v>52</v>
      </c>
      <c r="S81" s="5" t="s">
        <v>297</v>
      </c>
      <c r="T81" s="5" t="s">
        <v>53</v>
      </c>
      <c r="U81" s="5" t="s">
        <v>57</v>
      </c>
      <c r="V81" s="5" t="s">
        <v>297</v>
      </c>
      <c r="W81" s="5" t="s">
        <v>53</v>
      </c>
      <c r="X81" s="5" t="s">
        <v>59</v>
      </c>
      <c r="Y81" s="5" t="s">
        <v>297</v>
      </c>
      <c r="Z81" s="5" t="s">
        <v>53</v>
      </c>
      <c r="AA81" s="5" t="s">
        <v>61</v>
      </c>
      <c r="AB81" s="5" t="s">
        <v>297</v>
      </c>
      <c r="AC81" s="5" t="s">
        <v>53</v>
      </c>
      <c r="AD81" s="1" t="s">
        <v>65</v>
      </c>
      <c r="AE81" s="5" t="s">
        <v>297</v>
      </c>
      <c r="AF81" s="5" t="s">
        <v>38</v>
      </c>
    </row>
    <row r="82" spans="1:32" x14ac:dyDescent="0.35">
      <c r="A82" s="5"/>
      <c r="B82" s="13">
        <v>2027</v>
      </c>
      <c r="C82" s="5" t="s">
        <v>35</v>
      </c>
      <c r="D82" s="5" t="s">
        <v>297</v>
      </c>
      <c r="E82" s="5" t="s">
        <v>38</v>
      </c>
      <c r="F82" s="5" t="s">
        <v>43</v>
      </c>
      <c r="G82" s="7">
        <v>79</v>
      </c>
      <c r="H82" s="5" t="s">
        <v>44</v>
      </c>
      <c r="I82" s="5" t="s">
        <v>46</v>
      </c>
      <c r="J82" s="5">
        <v>101</v>
      </c>
      <c r="K82" s="5" t="s">
        <v>44</v>
      </c>
      <c r="L82" s="5" t="s">
        <v>48</v>
      </c>
      <c r="M82" s="5">
        <v>84</v>
      </c>
      <c r="N82" s="5" t="s">
        <v>44</v>
      </c>
      <c r="O82" s="5" t="s">
        <v>50</v>
      </c>
      <c r="P82" s="5">
        <v>138</v>
      </c>
      <c r="Q82" s="5" t="s">
        <v>44</v>
      </c>
      <c r="R82" s="5" t="s">
        <v>52</v>
      </c>
      <c r="S82" s="5" t="s">
        <v>297</v>
      </c>
      <c r="T82" s="5" t="s">
        <v>53</v>
      </c>
      <c r="U82" s="5" t="s">
        <v>57</v>
      </c>
      <c r="V82" s="5" t="s">
        <v>297</v>
      </c>
      <c r="W82" s="5" t="s">
        <v>53</v>
      </c>
      <c r="X82" s="5" t="s">
        <v>59</v>
      </c>
      <c r="Y82" s="5" t="s">
        <v>297</v>
      </c>
      <c r="Z82" s="5" t="s">
        <v>53</v>
      </c>
      <c r="AA82" s="5" t="s">
        <v>61</v>
      </c>
      <c r="AB82" s="5" t="s">
        <v>297</v>
      </c>
      <c r="AC82" s="5" t="s">
        <v>53</v>
      </c>
      <c r="AD82" s="1" t="s">
        <v>65</v>
      </c>
      <c r="AE82" s="5" t="s">
        <v>297</v>
      </c>
      <c r="AF82" s="5" t="s">
        <v>38</v>
      </c>
    </row>
    <row r="83" spans="1:32" x14ac:dyDescent="0.35">
      <c r="A83" s="5"/>
      <c r="B83" s="13">
        <v>2028</v>
      </c>
      <c r="C83" s="5" t="s">
        <v>35</v>
      </c>
      <c r="D83" s="5" t="s">
        <v>297</v>
      </c>
      <c r="E83" s="5" t="s">
        <v>38</v>
      </c>
      <c r="F83" s="5" t="s">
        <v>43</v>
      </c>
      <c r="G83" s="7">
        <v>78</v>
      </c>
      <c r="H83" s="5" t="s">
        <v>44</v>
      </c>
      <c r="I83" s="5" t="s">
        <v>46</v>
      </c>
      <c r="J83" s="5">
        <v>100</v>
      </c>
      <c r="K83" s="5" t="s">
        <v>44</v>
      </c>
      <c r="L83" s="5" t="s">
        <v>48</v>
      </c>
      <c r="M83" s="5">
        <v>87</v>
      </c>
      <c r="N83" s="5" t="s">
        <v>44</v>
      </c>
      <c r="O83" s="5" t="s">
        <v>50</v>
      </c>
      <c r="P83" s="5">
        <v>139</v>
      </c>
      <c r="Q83" s="5" t="s">
        <v>44</v>
      </c>
      <c r="R83" s="5" t="s">
        <v>52</v>
      </c>
      <c r="S83" s="5" t="s">
        <v>297</v>
      </c>
      <c r="T83" s="5" t="s">
        <v>53</v>
      </c>
      <c r="U83" s="5" t="s">
        <v>57</v>
      </c>
      <c r="V83" s="5" t="s">
        <v>297</v>
      </c>
      <c r="W83" s="5" t="s">
        <v>53</v>
      </c>
      <c r="X83" s="5" t="s">
        <v>59</v>
      </c>
      <c r="Y83" s="5" t="s">
        <v>297</v>
      </c>
      <c r="Z83" s="5" t="s">
        <v>53</v>
      </c>
      <c r="AA83" s="5" t="s">
        <v>61</v>
      </c>
      <c r="AB83" s="5" t="s">
        <v>297</v>
      </c>
      <c r="AC83" s="5" t="s">
        <v>53</v>
      </c>
      <c r="AD83" s="1" t="s">
        <v>65</v>
      </c>
      <c r="AE83" s="5" t="s">
        <v>297</v>
      </c>
      <c r="AF83" s="5" t="s">
        <v>38</v>
      </c>
    </row>
    <row r="84" spans="1:32" x14ac:dyDescent="0.35">
      <c r="A84" s="5"/>
      <c r="B84" s="13">
        <v>2029</v>
      </c>
      <c r="C84" s="5" t="s">
        <v>35</v>
      </c>
      <c r="D84" s="5" t="s">
        <v>297</v>
      </c>
      <c r="E84" s="5" t="s">
        <v>38</v>
      </c>
      <c r="F84" s="5" t="s">
        <v>43</v>
      </c>
      <c r="G84" s="7">
        <v>79</v>
      </c>
      <c r="H84" s="5" t="s">
        <v>44</v>
      </c>
      <c r="I84" s="5" t="s">
        <v>46</v>
      </c>
      <c r="J84" s="5">
        <v>99</v>
      </c>
      <c r="K84" s="5" t="s">
        <v>44</v>
      </c>
      <c r="L84" s="5" t="s">
        <v>48</v>
      </c>
      <c r="M84" s="5">
        <v>90</v>
      </c>
      <c r="N84" s="5" t="s">
        <v>44</v>
      </c>
      <c r="O84" s="5" t="s">
        <v>50</v>
      </c>
      <c r="P84" s="5">
        <v>140</v>
      </c>
      <c r="Q84" s="5" t="s">
        <v>44</v>
      </c>
      <c r="R84" s="5" t="s">
        <v>52</v>
      </c>
      <c r="S84" s="5" t="s">
        <v>297</v>
      </c>
      <c r="T84" s="5" t="s">
        <v>53</v>
      </c>
      <c r="U84" s="5" t="s">
        <v>57</v>
      </c>
      <c r="V84" s="5" t="s">
        <v>297</v>
      </c>
      <c r="W84" s="5" t="s">
        <v>53</v>
      </c>
      <c r="X84" s="5" t="s">
        <v>59</v>
      </c>
      <c r="Y84" s="5" t="s">
        <v>297</v>
      </c>
      <c r="Z84" s="5" t="s">
        <v>53</v>
      </c>
      <c r="AA84" s="5" t="s">
        <v>61</v>
      </c>
      <c r="AB84" s="5" t="s">
        <v>297</v>
      </c>
      <c r="AC84" s="5" t="s">
        <v>53</v>
      </c>
      <c r="AD84" s="1" t="s">
        <v>65</v>
      </c>
      <c r="AE84" s="5" t="s">
        <v>297</v>
      </c>
      <c r="AF84" s="5" t="s">
        <v>38</v>
      </c>
    </row>
    <row r="85" spans="1:32" x14ac:dyDescent="0.35">
      <c r="A85" s="5"/>
      <c r="B85" s="13">
        <v>2030</v>
      </c>
      <c r="C85" s="5" t="s">
        <v>35</v>
      </c>
      <c r="D85" s="5">
        <v>151.55301</v>
      </c>
      <c r="E85" s="5" t="s">
        <v>38</v>
      </c>
      <c r="F85" s="5" t="s">
        <v>43</v>
      </c>
      <c r="G85" s="7">
        <v>80</v>
      </c>
      <c r="H85" s="5" t="s">
        <v>44</v>
      </c>
      <c r="I85" s="5" t="s">
        <v>46</v>
      </c>
      <c r="J85" s="5">
        <v>99</v>
      </c>
      <c r="K85" s="5" t="s">
        <v>44</v>
      </c>
      <c r="L85" s="5" t="s">
        <v>48</v>
      </c>
      <c r="M85" s="5">
        <v>93</v>
      </c>
      <c r="N85" s="5" t="s">
        <v>44</v>
      </c>
      <c r="O85" s="5" t="s">
        <v>50</v>
      </c>
      <c r="P85" s="5">
        <v>141</v>
      </c>
      <c r="Q85" s="5" t="s">
        <v>44</v>
      </c>
      <c r="R85" s="5" t="s">
        <v>52</v>
      </c>
      <c r="S85" s="5">
        <v>37.799999999999997</v>
      </c>
      <c r="T85" s="5" t="s">
        <v>53</v>
      </c>
      <c r="U85" s="5" t="s">
        <v>57</v>
      </c>
      <c r="V85" s="5">
        <v>46.8</v>
      </c>
      <c r="W85" s="5" t="s">
        <v>53</v>
      </c>
      <c r="X85" s="5" t="s">
        <v>59</v>
      </c>
      <c r="Y85" s="5">
        <v>17.5</v>
      </c>
      <c r="Z85" s="5" t="s">
        <v>53</v>
      </c>
      <c r="AA85" s="5" t="s">
        <v>61</v>
      </c>
      <c r="AB85" s="5">
        <v>17.7</v>
      </c>
      <c r="AC85" s="5" t="s">
        <v>53</v>
      </c>
      <c r="AD85" s="1" t="s">
        <v>65</v>
      </c>
      <c r="AE85" s="29">
        <v>39.11</v>
      </c>
      <c r="AF85" s="5" t="s">
        <v>38</v>
      </c>
    </row>
    <row r="86" spans="1:32" x14ac:dyDescent="0.35">
      <c r="A86" s="5"/>
      <c r="B86" s="13">
        <v>2031</v>
      </c>
      <c r="C86" s="5" t="s">
        <v>35</v>
      </c>
      <c r="D86" s="5" t="s">
        <v>297</v>
      </c>
      <c r="E86" s="5" t="s">
        <v>38</v>
      </c>
      <c r="F86" s="5" t="s">
        <v>43</v>
      </c>
      <c r="G86" s="7">
        <v>82</v>
      </c>
      <c r="H86" s="5" t="s">
        <v>44</v>
      </c>
      <c r="I86" s="5" t="s">
        <v>46</v>
      </c>
      <c r="J86" s="5">
        <v>98</v>
      </c>
      <c r="K86" s="5" t="s">
        <v>44</v>
      </c>
      <c r="L86" s="5" t="s">
        <v>48</v>
      </c>
      <c r="M86" s="5">
        <v>93</v>
      </c>
      <c r="N86" s="5" t="s">
        <v>44</v>
      </c>
      <c r="O86" s="5" t="s">
        <v>50</v>
      </c>
      <c r="P86" s="5">
        <v>141</v>
      </c>
      <c r="Q86" s="5" t="s">
        <v>44</v>
      </c>
      <c r="R86" s="5" t="s">
        <v>52</v>
      </c>
      <c r="S86" s="5" t="s">
        <v>297</v>
      </c>
      <c r="T86" s="5" t="s">
        <v>53</v>
      </c>
      <c r="U86" s="5" t="s">
        <v>57</v>
      </c>
      <c r="V86" s="5" t="s">
        <v>297</v>
      </c>
      <c r="W86" s="5" t="s">
        <v>53</v>
      </c>
      <c r="X86" s="5" t="s">
        <v>59</v>
      </c>
      <c r="Y86" s="5" t="s">
        <v>297</v>
      </c>
      <c r="Z86" s="5" t="s">
        <v>53</v>
      </c>
      <c r="AA86" s="5" t="s">
        <v>61</v>
      </c>
      <c r="AB86" s="5" t="s">
        <v>297</v>
      </c>
      <c r="AC86" s="5" t="s">
        <v>53</v>
      </c>
      <c r="AD86" s="1" t="s">
        <v>65</v>
      </c>
      <c r="AE86" s="5" t="s">
        <v>297</v>
      </c>
      <c r="AF86" s="5" t="s">
        <v>38</v>
      </c>
    </row>
    <row r="87" spans="1:32" x14ac:dyDescent="0.35">
      <c r="A87" s="5"/>
      <c r="B87" s="13">
        <v>2032</v>
      </c>
      <c r="C87" s="5" t="s">
        <v>35</v>
      </c>
      <c r="D87" s="5" t="s">
        <v>297</v>
      </c>
      <c r="E87" s="5" t="s">
        <v>38</v>
      </c>
      <c r="F87" s="5" t="s">
        <v>43</v>
      </c>
      <c r="G87" s="7">
        <v>84</v>
      </c>
      <c r="H87" s="5" t="s">
        <v>44</v>
      </c>
      <c r="I87" s="5" t="s">
        <v>46</v>
      </c>
      <c r="J87" s="5">
        <v>96</v>
      </c>
      <c r="K87" s="5" t="s">
        <v>44</v>
      </c>
      <c r="L87" s="5" t="s">
        <v>48</v>
      </c>
      <c r="M87" s="5">
        <v>93</v>
      </c>
      <c r="N87" s="5" t="s">
        <v>44</v>
      </c>
      <c r="O87" s="5" t="s">
        <v>50</v>
      </c>
      <c r="P87" s="5">
        <v>141</v>
      </c>
      <c r="Q87" s="5" t="s">
        <v>44</v>
      </c>
      <c r="R87" s="5" t="s">
        <v>52</v>
      </c>
      <c r="S87" s="5" t="s">
        <v>297</v>
      </c>
      <c r="T87" s="5" t="s">
        <v>53</v>
      </c>
      <c r="U87" s="5" t="s">
        <v>57</v>
      </c>
      <c r="V87" s="5" t="s">
        <v>297</v>
      </c>
      <c r="W87" s="5" t="s">
        <v>53</v>
      </c>
      <c r="X87" s="5" t="s">
        <v>59</v>
      </c>
      <c r="Y87" s="5" t="s">
        <v>297</v>
      </c>
      <c r="Z87" s="5" t="s">
        <v>53</v>
      </c>
      <c r="AA87" s="5" t="s">
        <v>61</v>
      </c>
      <c r="AB87" s="5" t="s">
        <v>297</v>
      </c>
      <c r="AC87" s="5" t="s">
        <v>53</v>
      </c>
      <c r="AD87" s="1" t="s">
        <v>65</v>
      </c>
      <c r="AE87" s="5" t="s">
        <v>297</v>
      </c>
      <c r="AF87" s="5" t="s">
        <v>38</v>
      </c>
    </row>
    <row r="88" spans="1:32" x14ac:dyDescent="0.35">
      <c r="A88" s="5"/>
      <c r="B88" s="13">
        <v>2033</v>
      </c>
      <c r="C88" s="5" t="s">
        <v>35</v>
      </c>
      <c r="D88" s="5" t="s">
        <v>297</v>
      </c>
      <c r="E88" s="5" t="s">
        <v>38</v>
      </c>
      <c r="F88" s="5" t="s">
        <v>43</v>
      </c>
      <c r="G88" s="7">
        <v>87</v>
      </c>
      <c r="H88" s="5" t="s">
        <v>44</v>
      </c>
      <c r="I88" s="5" t="s">
        <v>46</v>
      </c>
      <c r="J88" s="5">
        <v>96</v>
      </c>
      <c r="K88" s="5" t="s">
        <v>44</v>
      </c>
      <c r="L88" s="5" t="s">
        <v>48</v>
      </c>
      <c r="M88" s="5">
        <v>95</v>
      </c>
      <c r="N88" s="5" t="s">
        <v>44</v>
      </c>
      <c r="O88" s="5" t="s">
        <v>50</v>
      </c>
      <c r="P88" s="5">
        <v>142</v>
      </c>
      <c r="Q88" s="5" t="s">
        <v>44</v>
      </c>
      <c r="R88" s="5" t="s">
        <v>52</v>
      </c>
      <c r="S88" s="5" t="s">
        <v>297</v>
      </c>
      <c r="T88" s="5" t="s">
        <v>53</v>
      </c>
      <c r="U88" s="5" t="s">
        <v>57</v>
      </c>
      <c r="V88" s="5" t="s">
        <v>297</v>
      </c>
      <c r="W88" s="5" t="s">
        <v>53</v>
      </c>
      <c r="X88" s="5" t="s">
        <v>59</v>
      </c>
      <c r="Y88" s="5" t="s">
        <v>297</v>
      </c>
      <c r="Z88" s="5" t="s">
        <v>53</v>
      </c>
      <c r="AA88" s="5" t="s">
        <v>61</v>
      </c>
      <c r="AB88" s="5" t="s">
        <v>297</v>
      </c>
      <c r="AC88" s="5" t="s">
        <v>53</v>
      </c>
      <c r="AD88" s="1" t="s">
        <v>65</v>
      </c>
      <c r="AE88" s="5" t="s">
        <v>297</v>
      </c>
      <c r="AF88" s="5" t="s">
        <v>38</v>
      </c>
    </row>
    <row r="89" spans="1:32" x14ac:dyDescent="0.35">
      <c r="A89" s="5"/>
      <c r="B89" s="13">
        <v>2034</v>
      </c>
      <c r="C89" s="5" t="s">
        <v>35</v>
      </c>
      <c r="D89" s="5" t="s">
        <v>297</v>
      </c>
      <c r="E89" s="5" t="s">
        <v>38</v>
      </c>
      <c r="F89" s="5" t="s">
        <v>43</v>
      </c>
      <c r="G89" s="7">
        <v>90</v>
      </c>
      <c r="H89" s="5" t="s">
        <v>44</v>
      </c>
      <c r="I89" s="5" t="s">
        <v>46</v>
      </c>
      <c r="J89" s="5">
        <v>97</v>
      </c>
      <c r="K89" s="5" t="s">
        <v>44</v>
      </c>
      <c r="L89" s="5" t="s">
        <v>48</v>
      </c>
      <c r="M89" s="5">
        <v>96</v>
      </c>
      <c r="N89" s="5" t="s">
        <v>44</v>
      </c>
      <c r="O89" s="5" t="s">
        <v>50</v>
      </c>
      <c r="P89" s="5">
        <v>143</v>
      </c>
      <c r="Q89" s="5" t="s">
        <v>44</v>
      </c>
      <c r="R89" s="5" t="s">
        <v>52</v>
      </c>
      <c r="S89" s="5" t="s">
        <v>297</v>
      </c>
      <c r="T89" s="5" t="s">
        <v>53</v>
      </c>
      <c r="U89" s="5" t="s">
        <v>57</v>
      </c>
      <c r="V89" s="5" t="s">
        <v>297</v>
      </c>
      <c r="W89" s="5" t="s">
        <v>53</v>
      </c>
      <c r="X89" s="5" t="s">
        <v>59</v>
      </c>
      <c r="Y89" s="5" t="s">
        <v>297</v>
      </c>
      <c r="Z89" s="5" t="s">
        <v>53</v>
      </c>
      <c r="AA89" s="5" t="s">
        <v>61</v>
      </c>
      <c r="AB89" s="5" t="s">
        <v>297</v>
      </c>
      <c r="AC89" s="5" t="s">
        <v>53</v>
      </c>
      <c r="AD89" s="1" t="s">
        <v>65</v>
      </c>
      <c r="AE89" s="5" t="s">
        <v>297</v>
      </c>
      <c r="AF89" s="5" t="s">
        <v>38</v>
      </c>
    </row>
    <row r="90" spans="1:32" x14ac:dyDescent="0.35">
      <c r="A90" s="5"/>
      <c r="B90" s="13">
        <v>2035</v>
      </c>
      <c r="C90" s="5" t="s">
        <v>35</v>
      </c>
      <c r="D90" s="5">
        <v>145.42138999999997</v>
      </c>
      <c r="E90" s="5" t="s">
        <v>38</v>
      </c>
      <c r="F90" s="5" t="s">
        <v>43</v>
      </c>
      <c r="G90" s="7">
        <v>91</v>
      </c>
      <c r="H90" s="5" t="s">
        <v>44</v>
      </c>
      <c r="I90" s="5" t="s">
        <v>46</v>
      </c>
      <c r="J90" s="5">
        <v>96</v>
      </c>
      <c r="K90" s="5" t="s">
        <v>44</v>
      </c>
      <c r="L90" s="5" t="s">
        <v>48</v>
      </c>
      <c r="M90" s="5">
        <v>96</v>
      </c>
      <c r="N90" s="5" t="s">
        <v>44</v>
      </c>
      <c r="O90" s="5" t="s">
        <v>50</v>
      </c>
      <c r="P90" s="5">
        <v>144</v>
      </c>
      <c r="Q90" s="5" t="s">
        <v>44</v>
      </c>
      <c r="R90" s="5" t="s">
        <v>52</v>
      </c>
      <c r="S90" s="5">
        <v>32.299999999999997</v>
      </c>
      <c r="T90" s="5" t="s">
        <v>53</v>
      </c>
      <c r="U90" s="5" t="s">
        <v>57</v>
      </c>
      <c r="V90" s="5">
        <v>45.2</v>
      </c>
      <c r="W90" s="5" t="s">
        <v>53</v>
      </c>
      <c r="X90" s="5" t="s">
        <v>59</v>
      </c>
      <c r="Y90" s="5">
        <v>18.5</v>
      </c>
      <c r="Z90" s="5" t="s">
        <v>53</v>
      </c>
      <c r="AA90" s="5" t="s">
        <v>61</v>
      </c>
      <c r="AB90" s="5">
        <v>17.899999999999999</v>
      </c>
      <c r="AC90" s="5" t="s">
        <v>53</v>
      </c>
      <c r="AD90" s="1" t="s">
        <v>65</v>
      </c>
      <c r="AE90" s="5" t="s">
        <v>297</v>
      </c>
      <c r="AF90" s="5" t="s">
        <v>38</v>
      </c>
    </row>
    <row r="91" spans="1:32" x14ac:dyDescent="0.35">
      <c r="A91" s="5"/>
      <c r="B91" s="13">
        <v>2036</v>
      </c>
      <c r="C91" s="5" t="s">
        <v>35</v>
      </c>
      <c r="D91" s="5" t="s">
        <v>297</v>
      </c>
      <c r="E91" s="5" t="s">
        <v>38</v>
      </c>
      <c r="F91" s="5" t="s">
        <v>43</v>
      </c>
      <c r="G91" s="7">
        <v>92</v>
      </c>
      <c r="H91" s="5" t="s">
        <v>44</v>
      </c>
      <c r="I91" s="5" t="s">
        <v>46</v>
      </c>
      <c r="J91" s="5">
        <v>96</v>
      </c>
      <c r="K91" s="5" t="s">
        <v>44</v>
      </c>
      <c r="L91" s="5" t="s">
        <v>48</v>
      </c>
      <c r="M91" s="5">
        <v>97</v>
      </c>
      <c r="N91" s="5" t="s">
        <v>44</v>
      </c>
      <c r="O91" s="5" t="s">
        <v>50</v>
      </c>
      <c r="P91" s="5">
        <v>144</v>
      </c>
      <c r="Q91" s="5" t="s">
        <v>44</v>
      </c>
      <c r="R91" s="5" t="s">
        <v>52</v>
      </c>
      <c r="S91" s="5" t="s">
        <v>297</v>
      </c>
      <c r="T91" s="5" t="s">
        <v>53</v>
      </c>
      <c r="U91" s="5" t="s">
        <v>57</v>
      </c>
      <c r="V91" s="5" t="s">
        <v>297</v>
      </c>
      <c r="W91" s="5" t="s">
        <v>53</v>
      </c>
      <c r="X91" s="5" t="s">
        <v>59</v>
      </c>
      <c r="Y91" s="5" t="s">
        <v>297</v>
      </c>
      <c r="Z91" s="5" t="s">
        <v>53</v>
      </c>
      <c r="AA91" s="5" t="s">
        <v>61</v>
      </c>
      <c r="AB91" s="5" t="s">
        <v>297</v>
      </c>
      <c r="AC91" s="5" t="s">
        <v>53</v>
      </c>
      <c r="AD91" s="1" t="s">
        <v>65</v>
      </c>
      <c r="AE91" s="5" t="s">
        <v>297</v>
      </c>
      <c r="AF91" s="5" t="s">
        <v>38</v>
      </c>
    </row>
    <row r="92" spans="1:32" x14ac:dyDescent="0.35">
      <c r="A92" s="5"/>
      <c r="B92" s="13">
        <v>2037</v>
      </c>
      <c r="C92" s="5" t="s">
        <v>35</v>
      </c>
      <c r="D92" s="5" t="s">
        <v>297</v>
      </c>
      <c r="E92" s="5" t="s">
        <v>38</v>
      </c>
      <c r="F92" s="5" t="s">
        <v>43</v>
      </c>
      <c r="G92" s="7">
        <v>93</v>
      </c>
      <c r="H92" s="5" t="s">
        <v>44</v>
      </c>
      <c r="I92" s="5" t="s">
        <v>46</v>
      </c>
      <c r="J92" s="5">
        <v>94</v>
      </c>
      <c r="K92" s="5" t="s">
        <v>44</v>
      </c>
      <c r="L92" s="5" t="s">
        <v>48</v>
      </c>
      <c r="M92" s="5">
        <v>98</v>
      </c>
      <c r="N92" s="5" t="s">
        <v>44</v>
      </c>
      <c r="O92" s="5" t="s">
        <v>50</v>
      </c>
      <c r="P92" s="5">
        <v>145</v>
      </c>
      <c r="Q92" s="5" t="s">
        <v>44</v>
      </c>
      <c r="R92" s="5" t="s">
        <v>52</v>
      </c>
      <c r="S92" s="5" t="s">
        <v>297</v>
      </c>
      <c r="T92" s="5" t="s">
        <v>53</v>
      </c>
      <c r="U92" s="5" t="s">
        <v>57</v>
      </c>
      <c r="V92" s="5" t="s">
        <v>297</v>
      </c>
      <c r="W92" s="5" t="s">
        <v>53</v>
      </c>
      <c r="X92" s="5" t="s">
        <v>59</v>
      </c>
      <c r="Y92" s="5" t="s">
        <v>297</v>
      </c>
      <c r="Z92" s="5" t="s">
        <v>53</v>
      </c>
      <c r="AA92" s="5" t="s">
        <v>61</v>
      </c>
      <c r="AB92" s="5" t="s">
        <v>297</v>
      </c>
      <c r="AC92" s="5" t="s">
        <v>53</v>
      </c>
      <c r="AD92" s="1" t="s">
        <v>65</v>
      </c>
      <c r="AE92" s="5" t="s">
        <v>297</v>
      </c>
      <c r="AF92" s="5" t="s">
        <v>38</v>
      </c>
    </row>
    <row r="93" spans="1:32" x14ac:dyDescent="0.35">
      <c r="A93" s="5"/>
      <c r="B93" s="13">
        <v>2038</v>
      </c>
      <c r="C93" s="5" t="s">
        <v>35</v>
      </c>
      <c r="D93" s="5" t="s">
        <v>297</v>
      </c>
      <c r="E93" s="5" t="s">
        <v>38</v>
      </c>
      <c r="F93" s="5" t="s">
        <v>43</v>
      </c>
      <c r="G93" s="7">
        <v>92</v>
      </c>
      <c r="H93" s="5" t="s">
        <v>44</v>
      </c>
      <c r="I93" s="5" t="s">
        <v>46</v>
      </c>
      <c r="J93" s="5">
        <v>93</v>
      </c>
      <c r="K93" s="5" t="s">
        <v>44</v>
      </c>
      <c r="L93" s="5" t="s">
        <v>48</v>
      </c>
      <c r="M93" s="5">
        <v>98</v>
      </c>
      <c r="N93" s="5" t="s">
        <v>44</v>
      </c>
      <c r="O93" s="5" t="s">
        <v>50</v>
      </c>
      <c r="P93" s="5">
        <v>145</v>
      </c>
      <c r="Q93" s="5" t="s">
        <v>44</v>
      </c>
      <c r="R93" s="5" t="s">
        <v>52</v>
      </c>
      <c r="S93" s="5" t="s">
        <v>297</v>
      </c>
      <c r="T93" s="5" t="s">
        <v>53</v>
      </c>
      <c r="U93" s="5" t="s">
        <v>57</v>
      </c>
      <c r="V93" s="5" t="s">
        <v>297</v>
      </c>
      <c r="W93" s="5" t="s">
        <v>53</v>
      </c>
      <c r="X93" s="5" t="s">
        <v>59</v>
      </c>
      <c r="Y93" s="5" t="s">
        <v>297</v>
      </c>
      <c r="Z93" s="5" t="s">
        <v>53</v>
      </c>
      <c r="AA93" s="5" t="s">
        <v>61</v>
      </c>
      <c r="AB93" s="5" t="s">
        <v>297</v>
      </c>
      <c r="AC93" s="5" t="s">
        <v>53</v>
      </c>
      <c r="AD93" s="1" t="s">
        <v>65</v>
      </c>
      <c r="AE93" s="5" t="s">
        <v>297</v>
      </c>
      <c r="AF93" s="5" t="s">
        <v>38</v>
      </c>
    </row>
    <row r="94" spans="1:32" x14ac:dyDescent="0.35">
      <c r="A94" s="5"/>
      <c r="B94" s="13">
        <v>2039</v>
      </c>
      <c r="C94" s="5" t="s">
        <v>35</v>
      </c>
      <c r="D94" s="5" t="s">
        <v>297</v>
      </c>
      <c r="E94" s="5" t="s">
        <v>38</v>
      </c>
      <c r="F94" s="5" t="s">
        <v>43</v>
      </c>
      <c r="G94" s="7">
        <v>93</v>
      </c>
      <c r="H94" s="5" t="s">
        <v>44</v>
      </c>
      <c r="I94" s="5" t="s">
        <v>46</v>
      </c>
      <c r="J94" s="5">
        <v>92</v>
      </c>
      <c r="K94" s="5" t="s">
        <v>44</v>
      </c>
      <c r="L94" s="5" t="s">
        <v>48</v>
      </c>
      <c r="M94" s="5">
        <v>99</v>
      </c>
      <c r="N94" s="5" t="s">
        <v>44</v>
      </c>
      <c r="O94" s="5" t="s">
        <v>50</v>
      </c>
      <c r="P94" s="5">
        <v>146</v>
      </c>
      <c r="Q94" s="5" t="s">
        <v>44</v>
      </c>
      <c r="R94" s="5" t="s">
        <v>52</v>
      </c>
      <c r="S94" s="5" t="s">
        <v>297</v>
      </c>
      <c r="T94" s="5" t="s">
        <v>53</v>
      </c>
      <c r="U94" s="5" t="s">
        <v>57</v>
      </c>
      <c r="V94" s="5" t="s">
        <v>297</v>
      </c>
      <c r="W94" s="5" t="s">
        <v>53</v>
      </c>
      <c r="X94" s="5" t="s">
        <v>59</v>
      </c>
      <c r="Y94" s="5" t="s">
        <v>297</v>
      </c>
      <c r="Z94" s="5" t="s">
        <v>53</v>
      </c>
      <c r="AA94" s="5" t="s">
        <v>61</v>
      </c>
      <c r="AB94" s="5" t="s">
        <v>297</v>
      </c>
      <c r="AC94" s="5" t="s">
        <v>53</v>
      </c>
      <c r="AD94" s="1" t="s">
        <v>65</v>
      </c>
      <c r="AE94" s="5" t="s">
        <v>297</v>
      </c>
      <c r="AF94" s="5" t="s">
        <v>38</v>
      </c>
    </row>
    <row r="95" spans="1:32" x14ac:dyDescent="0.35">
      <c r="A95" s="5"/>
      <c r="B95" s="13">
        <v>2040</v>
      </c>
      <c r="C95" s="5" t="s">
        <v>35</v>
      </c>
      <c r="D95" s="5">
        <v>141.03912</v>
      </c>
      <c r="E95" s="5" t="s">
        <v>38</v>
      </c>
      <c r="F95" s="5" t="s">
        <v>43</v>
      </c>
      <c r="G95" s="7">
        <v>93</v>
      </c>
      <c r="H95" s="5" t="s">
        <v>44</v>
      </c>
      <c r="I95" s="5" t="s">
        <v>46</v>
      </c>
      <c r="J95" s="5">
        <v>89</v>
      </c>
      <c r="K95" s="5" t="s">
        <v>44</v>
      </c>
      <c r="L95" s="5" t="s">
        <v>48</v>
      </c>
      <c r="M95" s="5">
        <v>100</v>
      </c>
      <c r="N95" s="5" t="s">
        <v>44</v>
      </c>
      <c r="O95" s="5" t="s">
        <v>50</v>
      </c>
      <c r="P95" s="5">
        <v>147</v>
      </c>
      <c r="Q95" s="5" t="s">
        <v>44</v>
      </c>
      <c r="R95" s="5" t="s">
        <v>52</v>
      </c>
      <c r="S95" s="5">
        <v>26.8</v>
      </c>
      <c r="T95" s="5" t="s">
        <v>53</v>
      </c>
      <c r="U95" s="5" t="s">
        <v>57</v>
      </c>
      <c r="V95" s="5">
        <v>43.6</v>
      </c>
      <c r="W95" s="5" t="s">
        <v>53</v>
      </c>
      <c r="X95" s="5" t="s">
        <v>59</v>
      </c>
      <c r="Y95" s="5">
        <v>19.399999999999999</v>
      </c>
      <c r="Z95" s="5" t="s">
        <v>53</v>
      </c>
      <c r="AA95" s="5" t="s">
        <v>61</v>
      </c>
      <c r="AB95" s="5">
        <v>18.100000000000001</v>
      </c>
      <c r="AC95" s="5" t="s">
        <v>53</v>
      </c>
      <c r="AD95" s="1" t="s">
        <v>65</v>
      </c>
      <c r="AE95" s="5" t="s">
        <v>297</v>
      </c>
      <c r="AF95" s="5" t="s">
        <v>38</v>
      </c>
    </row>
    <row r="96" spans="1:32" x14ac:dyDescent="0.35">
      <c r="A96" s="5"/>
      <c r="B96" s="13">
        <v>2041</v>
      </c>
      <c r="C96" s="5" t="s">
        <v>35</v>
      </c>
      <c r="D96" s="5" t="s">
        <v>297</v>
      </c>
      <c r="E96" s="5" t="s">
        <v>38</v>
      </c>
      <c r="F96" s="5" t="s">
        <v>43</v>
      </c>
      <c r="G96" s="7">
        <v>93</v>
      </c>
      <c r="H96" s="5" t="s">
        <v>44</v>
      </c>
      <c r="I96" s="5" t="s">
        <v>46</v>
      </c>
      <c r="J96" s="5">
        <v>89</v>
      </c>
      <c r="K96" s="5" t="s">
        <v>44</v>
      </c>
      <c r="L96" s="5" t="s">
        <v>48</v>
      </c>
      <c r="M96" s="5">
        <v>102</v>
      </c>
      <c r="N96" s="5" t="s">
        <v>44</v>
      </c>
      <c r="O96" s="5" t="s">
        <v>50</v>
      </c>
      <c r="P96" s="5">
        <v>148</v>
      </c>
      <c r="Q96" s="5" t="s">
        <v>44</v>
      </c>
      <c r="R96" s="5" t="s">
        <v>52</v>
      </c>
      <c r="S96" s="5" t="s">
        <v>297</v>
      </c>
      <c r="T96" s="5" t="s">
        <v>53</v>
      </c>
      <c r="U96" s="5" t="s">
        <v>57</v>
      </c>
      <c r="V96" s="5" t="s">
        <v>297</v>
      </c>
      <c r="W96" s="5" t="s">
        <v>53</v>
      </c>
      <c r="X96" s="5" t="s">
        <v>59</v>
      </c>
      <c r="Y96" s="5" t="s">
        <v>297</v>
      </c>
      <c r="Z96" s="5" t="s">
        <v>53</v>
      </c>
      <c r="AA96" s="5" t="s">
        <v>61</v>
      </c>
      <c r="AB96" s="5" t="s">
        <v>297</v>
      </c>
      <c r="AC96" s="5" t="s">
        <v>53</v>
      </c>
      <c r="AD96" s="1" t="s">
        <v>65</v>
      </c>
      <c r="AE96" s="5" t="s">
        <v>297</v>
      </c>
      <c r="AF96" s="5" t="s">
        <v>38</v>
      </c>
    </row>
    <row r="97" spans="1:32" x14ac:dyDescent="0.35">
      <c r="A97" s="5"/>
      <c r="B97" s="13">
        <v>2042</v>
      </c>
      <c r="C97" s="5" t="s">
        <v>35</v>
      </c>
      <c r="D97" s="5" t="s">
        <v>297</v>
      </c>
      <c r="E97" s="5" t="s">
        <v>38</v>
      </c>
      <c r="F97" s="5" t="s">
        <v>43</v>
      </c>
      <c r="G97" s="7">
        <v>94</v>
      </c>
      <c r="H97" s="5" t="s">
        <v>44</v>
      </c>
      <c r="I97" s="5" t="s">
        <v>46</v>
      </c>
      <c r="J97" s="5">
        <v>88</v>
      </c>
      <c r="K97" s="5" t="s">
        <v>44</v>
      </c>
      <c r="L97" s="5" t="s">
        <v>48</v>
      </c>
      <c r="M97" s="5">
        <v>102</v>
      </c>
      <c r="N97" s="5" t="s">
        <v>44</v>
      </c>
      <c r="O97" s="5" t="s">
        <v>50</v>
      </c>
      <c r="P97" s="5">
        <v>148</v>
      </c>
      <c r="Q97" s="5" t="s">
        <v>44</v>
      </c>
      <c r="R97" s="5" t="s">
        <v>52</v>
      </c>
      <c r="S97" s="5" t="s">
        <v>297</v>
      </c>
      <c r="T97" s="5" t="s">
        <v>53</v>
      </c>
      <c r="U97" s="5" t="s">
        <v>57</v>
      </c>
      <c r="V97" s="5" t="s">
        <v>297</v>
      </c>
      <c r="W97" s="5" t="s">
        <v>53</v>
      </c>
      <c r="X97" s="5" t="s">
        <v>59</v>
      </c>
      <c r="Y97" s="5" t="s">
        <v>297</v>
      </c>
      <c r="Z97" s="5" t="s">
        <v>53</v>
      </c>
      <c r="AA97" s="5" t="s">
        <v>61</v>
      </c>
      <c r="AB97" s="5" t="s">
        <v>297</v>
      </c>
      <c r="AC97" s="5" t="s">
        <v>53</v>
      </c>
      <c r="AD97" s="1" t="s">
        <v>65</v>
      </c>
      <c r="AE97" s="5" t="s">
        <v>297</v>
      </c>
      <c r="AF97" s="5" t="s">
        <v>38</v>
      </c>
    </row>
    <row r="98" spans="1:32" x14ac:dyDescent="0.35">
      <c r="A98" s="5"/>
      <c r="B98" s="13">
        <v>2043</v>
      </c>
      <c r="C98" s="5" t="s">
        <v>35</v>
      </c>
      <c r="D98" s="5" t="s">
        <v>297</v>
      </c>
      <c r="E98" s="5" t="s">
        <v>38</v>
      </c>
      <c r="F98" s="5" t="s">
        <v>43</v>
      </c>
      <c r="G98" s="7">
        <v>95</v>
      </c>
      <c r="H98" s="5" t="s">
        <v>44</v>
      </c>
      <c r="I98" s="5" t="s">
        <v>46</v>
      </c>
      <c r="J98" s="5">
        <v>84</v>
      </c>
      <c r="K98" s="5" t="s">
        <v>44</v>
      </c>
      <c r="L98" s="5" t="s">
        <v>48</v>
      </c>
      <c r="M98" s="5">
        <v>104</v>
      </c>
      <c r="N98" s="5" t="s">
        <v>44</v>
      </c>
      <c r="O98" s="5" t="s">
        <v>50</v>
      </c>
      <c r="P98" s="5">
        <v>150</v>
      </c>
      <c r="Q98" s="5" t="s">
        <v>44</v>
      </c>
      <c r="R98" s="5" t="s">
        <v>52</v>
      </c>
      <c r="S98" s="5" t="s">
        <v>297</v>
      </c>
      <c r="T98" s="5" t="s">
        <v>53</v>
      </c>
      <c r="U98" s="5" t="s">
        <v>57</v>
      </c>
      <c r="V98" s="5" t="s">
        <v>297</v>
      </c>
      <c r="W98" s="5" t="s">
        <v>53</v>
      </c>
      <c r="X98" s="5" t="s">
        <v>59</v>
      </c>
      <c r="Y98" s="5" t="s">
        <v>297</v>
      </c>
      <c r="Z98" s="5" t="s">
        <v>53</v>
      </c>
      <c r="AA98" s="5" t="s">
        <v>61</v>
      </c>
      <c r="AB98" s="5" t="s">
        <v>297</v>
      </c>
      <c r="AC98" s="5" t="s">
        <v>53</v>
      </c>
      <c r="AD98" s="1" t="s">
        <v>65</v>
      </c>
      <c r="AE98" s="5" t="s">
        <v>297</v>
      </c>
      <c r="AF98" s="5" t="s">
        <v>38</v>
      </c>
    </row>
    <row r="99" spans="1:32" x14ac:dyDescent="0.35">
      <c r="A99" s="5"/>
      <c r="B99" s="13">
        <v>2044</v>
      </c>
      <c r="C99" s="5" t="s">
        <v>35</v>
      </c>
      <c r="D99" s="5" t="s">
        <v>297</v>
      </c>
      <c r="E99" s="5" t="s">
        <v>38</v>
      </c>
      <c r="F99" s="5" t="s">
        <v>43</v>
      </c>
      <c r="G99" s="7">
        <v>96</v>
      </c>
      <c r="H99" s="5" t="s">
        <v>44</v>
      </c>
      <c r="I99" s="5" t="s">
        <v>46</v>
      </c>
      <c r="J99" s="5">
        <v>84</v>
      </c>
      <c r="K99" s="5" t="s">
        <v>44</v>
      </c>
      <c r="L99" s="5" t="s">
        <v>48</v>
      </c>
      <c r="M99" s="5">
        <v>105</v>
      </c>
      <c r="N99" s="5" t="s">
        <v>44</v>
      </c>
      <c r="O99" s="5" t="s">
        <v>50</v>
      </c>
      <c r="P99" s="5">
        <v>151</v>
      </c>
      <c r="Q99" s="5" t="s">
        <v>44</v>
      </c>
      <c r="R99" s="5" t="s">
        <v>52</v>
      </c>
      <c r="S99" s="5" t="s">
        <v>297</v>
      </c>
      <c r="T99" s="5" t="s">
        <v>53</v>
      </c>
      <c r="U99" s="5" t="s">
        <v>57</v>
      </c>
      <c r="V99" s="5" t="s">
        <v>297</v>
      </c>
      <c r="W99" s="5" t="s">
        <v>53</v>
      </c>
      <c r="X99" s="5" t="s">
        <v>59</v>
      </c>
      <c r="Y99" s="5" t="s">
        <v>297</v>
      </c>
      <c r="Z99" s="5" t="s">
        <v>53</v>
      </c>
      <c r="AA99" s="5" t="s">
        <v>61</v>
      </c>
      <c r="AB99" s="5" t="s">
        <v>297</v>
      </c>
      <c r="AC99" s="5" t="s">
        <v>53</v>
      </c>
      <c r="AD99" s="1" t="s">
        <v>65</v>
      </c>
      <c r="AE99" s="5" t="s">
        <v>297</v>
      </c>
      <c r="AF99" s="5" t="s">
        <v>38</v>
      </c>
    </row>
    <row r="100" spans="1:32" x14ac:dyDescent="0.35">
      <c r="A100" s="5"/>
      <c r="B100" s="13">
        <v>2045</v>
      </c>
      <c r="C100" s="5" t="s">
        <v>35</v>
      </c>
      <c r="D100" s="5">
        <v>134.02986000000001</v>
      </c>
      <c r="E100" s="5" t="s">
        <v>38</v>
      </c>
      <c r="F100" s="5" t="s">
        <v>43</v>
      </c>
      <c r="G100" s="7">
        <v>97</v>
      </c>
      <c r="H100" s="5" t="s">
        <v>44</v>
      </c>
      <c r="I100" s="5" t="s">
        <v>46</v>
      </c>
      <c r="J100" s="5">
        <v>83</v>
      </c>
      <c r="K100" s="5" t="s">
        <v>44</v>
      </c>
      <c r="L100" s="5" t="s">
        <v>48</v>
      </c>
      <c r="M100" s="5">
        <v>105</v>
      </c>
      <c r="N100" s="5" t="s">
        <v>44</v>
      </c>
      <c r="O100" s="5" t="s">
        <v>50</v>
      </c>
      <c r="P100" s="5">
        <v>151</v>
      </c>
      <c r="Q100" s="5" t="s">
        <v>44</v>
      </c>
      <c r="R100" s="5" t="s">
        <v>52</v>
      </c>
      <c r="S100" s="5">
        <v>21.2</v>
      </c>
      <c r="T100" s="5" t="s">
        <v>53</v>
      </c>
      <c r="U100" s="5" t="s">
        <v>57</v>
      </c>
      <c r="V100" s="5">
        <v>42</v>
      </c>
      <c r="W100" s="5" t="s">
        <v>53</v>
      </c>
      <c r="X100" s="5" t="s">
        <v>59</v>
      </c>
      <c r="Y100" s="5">
        <v>20.3</v>
      </c>
      <c r="Z100" s="5" t="s">
        <v>53</v>
      </c>
      <c r="AA100" s="5" t="s">
        <v>61</v>
      </c>
      <c r="AB100" s="5">
        <v>18.3</v>
      </c>
      <c r="AC100" s="5" t="s">
        <v>53</v>
      </c>
      <c r="AD100" s="1" t="s">
        <v>65</v>
      </c>
      <c r="AE100" s="5" t="s">
        <v>297</v>
      </c>
      <c r="AF100" s="5" t="s">
        <v>38</v>
      </c>
    </row>
    <row r="101" spans="1:32" x14ac:dyDescent="0.35">
      <c r="A101" s="5"/>
      <c r="B101" s="13">
        <v>2046</v>
      </c>
      <c r="C101" s="5" t="s">
        <v>35</v>
      </c>
      <c r="D101" s="5" t="s">
        <v>297</v>
      </c>
      <c r="E101" s="5" t="s">
        <v>38</v>
      </c>
      <c r="F101" s="5" t="s">
        <v>43</v>
      </c>
      <c r="G101" s="7">
        <v>98</v>
      </c>
      <c r="H101" s="5" t="s">
        <v>44</v>
      </c>
      <c r="I101" s="5" t="s">
        <v>46</v>
      </c>
      <c r="J101" s="5">
        <v>84</v>
      </c>
      <c r="K101" s="5" t="s">
        <v>44</v>
      </c>
      <c r="L101" s="5" t="s">
        <v>48</v>
      </c>
      <c r="M101" s="5">
        <v>106</v>
      </c>
      <c r="N101" s="5" t="s">
        <v>44</v>
      </c>
      <c r="O101" s="5" t="s">
        <v>50</v>
      </c>
      <c r="P101" s="5">
        <v>152</v>
      </c>
      <c r="Q101" s="5" t="s">
        <v>44</v>
      </c>
      <c r="R101" s="5" t="s">
        <v>52</v>
      </c>
      <c r="S101" s="5" t="s">
        <v>297</v>
      </c>
      <c r="T101" s="5" t="s">
        <v>53</v>
      </c>
      <c r="U101" s="5" t="s">
        <v>57</v>
      </c>
      <c r="V101" s="5" t="s">
        <v>297</v>
      </c>
      <c r="W101" s="5" t="s">
        <v>53</v>
      </c>
      <c r="X101" s="5" t="s">
        <v>59</v>
      </c>
      <c r="Y101" s="5" t="s">
        <v>297</v>
      </c>
      <c r="Z101" s="5" t="s">
        <v>53</v>
      </c>
      <c r="AA101" s="5" t="s">
        <v>61</v>
      </c>
      <c r="AB101" s="5" t="s">
        <v>297</v>
      </c>
      <c r="AC101" s="5" t="s">
        <v>53</v>
      </c>
      <c r="AD101" s="1" t="s">
        <v>65</v>
      </c>
      <c r="AE101" s="5" t="s">
        <v>297</v>
      </c>
      <c r="AF101" s="5" t="s">
        <v>38</v>
      </c>
    </row>
    <row r="102" spans="1:32" x14ac:dyDescent="0.35">
      <c r="A102" s="5"/>
      <c r="B102" s="13">
        <v>2047</v>
      </c>
      <c r="C102" s="5" t="s">
        <v>35</v>
      </c>
      <c r="D102" s="5" t="s">
        <v>297</v>
      </c>
      <c r="E102" s="5" t="s">
        <v>38</v>
      </c>
      <c r="F102" s="5" t="s">
        <v>43</v>
      </c>
      <c r="G102" s="7">
        <v>99</v>
      </c>
      <c r="H102" s="5" t="s">
        <v>44</v>
      </c>
      <c r="I102" s="5" t="s">
        <v>46</v>
      </c>
      <c r="J102" s="5">
        <v>85</v>
      </c>
      <c r="K102" s="5" t="s">
        <v>44</v>
      </c>
      <c r="L102" s="5" t="s">
        <v>48</v>
      </c>
      <c r="M102" s="5">
        <v>107</v>
      </c>
      <c r="N102" s="5" t="s">
        <v>44</v>
      </c>
      <c r="O102" s="5" t="s">
        <v>50</v>
      </c>
      <c r="P102" s="5">
        <v>153</v>
      </c>
      <c r="Q102" s="5" t="s">
        <v>44</v>
      </c>
      <c r="R102" s="5" t="s">
        <v>52</v>
      </c>
      <c r="S102" s="5" t="s">
        <v>297</v>
      </c>
      <c r="T102" s="5" t="s">
        <v>53</v>
      </c>
      <c r="U102" s="5" t="s">
        <v>57</v>
      </c>
      <c r="V102" s="5" t="s">
        <v>297</v>
      </c>
      <c r="W102" s="5" t="s">
        <v>53</v>
      </c>
      <c r="X102" s="5" t="s">
        <v>59</v>
      </c>
      <c r="Y102" s="5" t="s">
        <v>297</v>
      </c>
      <c r="Z102" s="5" t="s">
        <v>53</v>
      </c>
      <c r="AA102" s="5" t="s">
        <v>61</v>
      </c>
      <c r="AB102" s="5" t="s">
        <v>297</v>
      </c>
      <c r="AC102" s="5" t="s">
        <v>53</v>
      </c>
      <c r="AD102" s="1" t="s">
        <v>65</v>
      </c>
      <c r="AE102" s="5" t="s">
        <v>297</v>
      </c>
      <c r="AF102" s="5" t="s">
        <v>38</v>
      </c>
    </row>
    <row r="103" spans="1:32" x14ac:dyDescent="0.35">
      <c r="A103" s="5"/>
      <c r="B103" s="13">
        <v>2048</v>
      </c>
      <c r="C103" s="5" t="s">
        <v>35</v>
      </c>
      <c r="D103" s="5" t="s">
        <v>297</v>
      </c>
      <c r="E103" s="5" t="s">
        <v>38</v>
      </c>
      <c r="F103" s="5" t="s">
        <v>43</v>
      </c>
      <c r="G103" s="7">
        <v>100</v>
      </c>
      <c r="H103" s="5" t="s">
        <v>44</v>
      </c>
      <c r="I103" s="5" t="s">
        <v>46</v>
      </c>
      <c r="J103" s="5">
        <v>86</v>
      </c>
      <c r="K103" s="5" t="s">
        <v>44</v>
      </c>
      <c r="L103" s="5" t="s">
        <v>48</v>
      </c>
      <c r="M103" s="5">
        <v>108</v>
      </c>
      <c r="N103" s="5" t="s">
        <v>44</v>
      </c>
      <c r="O103" s="5" t="s">
        <v>50</v>
      </c>
      <c r="P103" s="5">
        <v>153</v>
      </c>
      <c r="Q103" s="5" t="s">
        <v>44</v>
      </c>
      <c r="R103" s="5" t="s">
        <v>52</v>
      </c>
      <c r="S103" s="5" t="s">
        <v>297</v>
      </c>
      <c r="T103" s="5" t="s">
        <v>53</v>
      </c>
      <c r="U103" s="5" t="s">
        <v>57</v>
      </c>
      <c r="V103" s="5" t="s">
        <v>297</v>
      </c>
      <c r="W103" s="5" t="s">
        <v>53</v>
      </c>
      <c r="X103" s="5" t="s">
        <v>59</v>
      </c>
      <c r="Y103" s="5" t="s">
        <v>297</v>
      </c>
      <c r="Z103" s="5" t="s">
        <v>53</v>
      </c>
      <c r="AA103" s="5" t="s">
        <v>61</v>
      </c>
      <c r="AB103" s="5" t="s">
        <v>297</v>
      </c>
      <c r="AC103" s="5" t="s">
        <v>53</v>
      </c>
      <c r="AD103" s="1" t="s">
        <v>65</v>
      </c>
      <c r="AE103" s="5" t="s">
        <v>297</v>
      </c>
      <c r="AF103" s="5" t="s">
        <v>38</v>
      </c>
    </row>
    <row r="104" spans="1:32" x14ac:dyDescent="0.35">
      <c r="A104" s="5"/>
      <c r="B104" s="13">
        <v>2049</v>
      </c>
      <c r="C104" s="5" t="s">
        <v>35</v>
      </c>
      <c r="D104" s="5" t="s">
        <v>297</v>
      </c>
      <c r="E104" s="5" t="s">
        <v>38</v>
      </c>
      <c r="F104" s="5" t="s">
        <v>43</v>
      </c>
      <c r="G104" s="7">
        <v>101</v>
      </c>
      <c r="H104" s="5" t="s">
        <v>44</v>
      </c>
      <c r="I104" s="5" t="s">
        <v>46</v>
      </c>
      <c r="J104" s="5">
        <v>86</v>
      </c>
      <c r="K104" s="5" t="s">
        <v>44</v>
      </c>
      <c r="L104" s="5" t="s">
        <v>48</v>
      </c>
      <c r="M104" s="5">
        <v>109</v>
      </c>
      <c r="N104" s="5" t="s">
        <v>44</v>
      </c>
      <c r="O104" s="5" t="s">
        <v>50</v>
      </c>
      <c r="P104" s="5">
        <v>153</v>
      </c>
      <c r="Q104" s="5" t="s">
        <v>44</v>
      </c>
      <c r="R104" s="5" t="s">
        <v>52</v>
      </c>
      <c r="S104" s="5" t="s">
        <v>297</v>
      </c>
      <c r="T104" s="5" t="s">
        <v>53</v>
      </c>
      <c r="U104" s="5" t="s">
        <v>57</v>
      </c>
      <c r="V104" s="5" t="s">
        <v>297</v>
      </c>
      <c r="W104" s="5" t="s">
        <v>53</v>
      </c>
      <c r="X104" s="5" t="s">
        <v>59</v>
      </c>
      <c r="Y104" s="5" t="s">
        <v>297</v>
      </c>
      <c r="Z104" s="5" t="s">
        <v>53</v>
      </c>
      <c r="AA104" s="5" t="s">
        <v>61</v>
      </c>
      <c r="AB104" s="5" t="s">
        <v>297</v>
      </c>
      <c r="AC104" s="5" t="s">
        <v>53</v>
      </c>
      <c r="AD104" s="1" t="s">
        <v>65</v>
      </c>
      <c r="AE104" s="5" t="s">
        <v>297</v>
      </c>
      <c r="AF104" s="5" t="s">
        <v>38</v>
      </c>
    </row>
    <row r="105" spans="1:32" x14ac:dyDescent="0.35">
      <c r="A105" s="5"/>
      <c r="B105" s="13">
        <v>2050</v>
      </c>
      <c r="C105" s="5" t="s">
        <v>35</v>
      </c>
      <c r="D105" s="5">
        <v>128.77588</v>
      </c>
      <c r="E105" s="5" t="s">
        <v>38</v>
      </c>
      <c r="F105" s="5" t="s">
        <v>43</v>
      </c>
      <c r="G105" s="7">
        <v>102</v>
      </c>
      <c r="H105" s="5" t="s">
        <v>44</v>
      </c>
      <c r="I105" s="5" t="s">
        <v>46</v>
      </c>
      <c r="J105" s="5">
        <v>87</v>
      </c>
      <c r="K105" s="5" t="s">
        <v>44</v>
      </c>
      <c r="L105" s="5" t="s">
        <v>48</v>
      </c>
      <c r="M105" s="5">
        <v>110</v>
      </c>
      <c r="N105" s="5" t="s">
        <v>44</v>
      </c>
      <c r="O105" s="5" t="s">
        <v>50</v>
      </c>
      <c r="P105" s="5">
        <v>154</v>
      </c>
      <c r="Q105" s="5" t="s">
        <v>44</v>
      </c>
      <c r="R105" s="5" t="s">
        <v>52</v>
      </c>
      <c r="S105" s="5">
        <v>15.7</v>
      </c>
      <c r="T105" s="5" t="s">
        <v>53</v>
      </c>
      <c r="U105" s="5" t="s">
        <v>57</v>
      </c>
      <c r="V105" s="5">
        <v>40.5</v>
      </c>
      <c r="W105" s="5" t="s">
        <v>53</v>
      </c>
      <c r="X105" s="5" t="s">
        <v>59</v>
      </c>
      <c r="Y105" s="5">
        <v>21.2</v>
      </c>
      <c r="Z105" s="5" t="s">
        <v>53</v>
      </c>
      <c r="AA105" s="5" t="s">
        <v>61</v>
      </c>
      <c r="AB105" s="5">
        <v>18.5</v>
      </c>
      <c r="AC105" s="5" t="s">
        <v>53</v>
      </c>
      <c r="AD105" s="1" t="s">
        <v>65</v>
      </c>
      <c r="AE105" s="5">
        <v>43.26</v>
      </c>
      <c r="AF105" s="5" t="s">
        <v>38</v>
      </c>
    </row>
    <row r="106" spans="1:32" x14ac:dyDescent="0.35">
      <c r="A106" s="31" t="s">
        <v>299</v>
      </c>
      <c r="B106" s="14" t="s">
        <v>11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3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2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2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2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1:32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1:32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1:32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2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1:32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1:32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1:32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1:32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1:32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 x14ac:dyDescent="0.3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2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2" x14ac:dyDescent="0.3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2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 x14ac:dyDescent="0.3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2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 x14ac:dyDescent="0.3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 x14ac:dyDescent="0.3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2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 x14ac:dyDescent="0.3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2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 x14ac:dyDescent="0.3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2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2" x14ac:dyDescent="0.3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2" x14ac:dyDescent="0.3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2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2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2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1:32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1:32" x14ac:dyDescent="0.3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1:32" x14ac:dyDescent="0.3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2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 x14ac:dyDescent="0.3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 x14ac:dyDescent="0.3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 x14ac:dyDescent="0.3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 x14ac:dyDescent="0.3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2" x14ac:dyDescent="0.3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 x14ac:dyDescent="0.3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 x14ac:dyDescent="0.3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 x14ac:dyDescent="0.3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2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1:32" x14ac:dyDescent="0.3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 x14ac:dyDescent="0.3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 x14ac:dyDescent="0.3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1:32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 x14ac:dyDescent="0.3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 x14ac:dyDescent="0.3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 x14ac:dyDescent="0.3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 x14ac:dyDescent="0.3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2" x14ac:dyDescent="0.3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 x14ac:dyDescent="0.3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 x14ac:dyDescent="0.3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 x14ac:dyDescent="0.3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 x14ac:dyDescent="0.3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2" x14ac:dyDescent="0.3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 x14ac:dyDescent="0.3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 x14ac:dyDescent="0.3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 x14ac:dyDescent="0.3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 x14ac:dyDescent="0.3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 x14ac:dyDescent="0.3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1:32" x14ac:dyDescent="0.3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 x14ac:dyDescent="0.3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 x14ac:dyDescent="0.3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 x14ac:dyDescent="0.3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 x14ac:dyDescent="0.3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 x14ac:dyDescent="0.3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1:32" x14ac:dyDescent="0.3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 x14ac:dyDescent="0.3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 x14ac:dyDescent="0.3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 x14ac:dyDescent="0.3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1:32" x14ac:dyDescent="0.3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 x14ac:dyDescent="0.3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 x14ac:dyDescent="0.3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 x14ac:dyDescent="0.3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 x14ac:dyDescent="0.3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 x14ac:dyDescent="0.3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 x14ac:dyDescent="0.3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 x14ac:dyDescent="0.3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 x14ac:dyDescent="0.3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1:32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1:32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1:32" x14ac:dyDescent="0.3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2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2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 x14ac:dyDescent="0.3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1:32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1:32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1:32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 x14ac:dyDescent="0.3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 x14ac:dyDescent="0.3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 x14ac:dyDescent="0.3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 x14ac:dyDescent="0.3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1:32" x14ac:dyDescent="0.3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1:32" x14ac:dyDescent="0.3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 x14ac:dyDescent="0.3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 x14ac:dyDescent="0.3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 x14ac:dyDescent="0.3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 x14ac:dyDescent="0.3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 x14ac:dyDescent="0.3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1:32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 x14ac:dyDescent="0.3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2" x14ac:dyDescent="0.3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 x14ac:dyDescent="0.3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1:32" x14ac:dyDescent="0.3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 x14ac:dyDescent="0.3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 x14ac:dyDescent="0.3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 x14ac:dyDescent="0.3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 x14ac:dyDescent="0.3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 x14ac:dyDescent="0.3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 x14ac:dyDescent="0.3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 x14ac:dyDescent="0.3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 x14ac:dyDescent="0.3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 x14ac:dyDescent="0.3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 x14ac:dyDescent="0.3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 x14ac:dyDescent="0.3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1:32" x14ac:dyDescent="0.3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 x14ac:dyDescent="0.3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1:32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 x14ac:dyDescent="0.3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 x14ac:dyDescent="0.3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 x14ac:dyDescent="0.3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 x14ac:dyDescent="0.3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 x14ac:dyDescent="0.3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 x14ac:dyDescent="0.3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 x14ac:dyDescent="0.3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 x14ac:dyDescent="0.3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 x14ac:dyDescent="0.3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 x14ac:dyDescent="0.3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1:32" x14ac:dyDescent="0.3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 x14ac:dyDescent="0.3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 x14ac:dyDescent="0.3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 x14ac:dyDescent="0.3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 x14ac:dyDescent="0.3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1:32" x14ac:dyDescent="0.3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 x14ac:dyDescent="0.3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1:32" x14ac:dyDescent="0.3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 x14ac:dyDescent="0.3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 x14ac:dyDescent="0.3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1:32" x14ac:dyDescent="0.3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 x14ac:dyDescent="0.3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1:32" x14ac:dyDescent="0.3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 x14ac:dyDescent="0.3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 x14ac:dyDescent="0.3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 x14ac:dyDescent="0.3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 x14ac:dyDescent="0.3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 x14ac:dyDescent="0.3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2" x14ac:dyDescent="0.3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 x14ac:dyDescent="0.3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2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1:32" x14ac:dyDescent="0.3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 x14ac:dyDescent="0.3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 x14ac:dyDescent="0.3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 x14ac:dyDescent="0.3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 x14ac:dyDescent="0.3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 x14ac:dyDescent="0.3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 x14ac:dyDescent="0.3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 x14ac:dyDescent="0.3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 x14ac:dyDescent="0.3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1:32" x14ac:dyDescent="0.3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 x14ac:dyDescent="0.3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1:32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1:32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2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2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1:32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1:32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 x14ac:dyDescent="0.3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 x14ac:dyDescent="0.3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2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 x14ac:dyDescent="0.3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 x14ac:dyDescent="0.3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1:32" x14ac:dyDescent="0.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1:32" x14ac:dyDescent="0.3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 x14ac:dyDescent="0.3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2" x14ac:dyDescent="0.3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2" x14ac:dyDescent="0.3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 x14ac:dyDescent="0.3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 x14ac:dyDescent="0.3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2" x14ac:dyDescent="0.3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1:32" x14ac:dyDescent="0.3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 x14ac:dyDescent="0.3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 x14ac:dyDescent="0.3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 x14ac:dyDescent="0.3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 x14ac:dyDescent="0.3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1:32" x14ac:dyDescent="0.3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 x14ac:dyDescent="0.3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 x14ac:dyDescent="0.3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2" x14ac:dyDescent="0.3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 x14ac:dyDescent="0.3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 x14ac:dyDescent="0.3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1:32" x14ac:dyDescent="0.3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 x14ac:dyDescent="0.3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 x14ac:dyDescent="0.3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 x14ac:dyDescent="0.3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1:32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1:32" x14ac:dyDescent="0.3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 x14ac:dyDescent="0.3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1:32" x14ac:dyDescent="0.3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 x14ac:dyDescent="0.3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 x14ac:dyDescent="0.3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2" x14ac:dyDescent="0.3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1:32" x14ac:dyDescent="0.3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 x14ac:dyDescent="0.3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1:32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 x14ac:dyDescent="0.3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 x14ac:dyDescent="0.3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 x14ac:dyDescent="0.3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 x14ac:dyDescent="0.3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2" x14ac:dyDescent="0.3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2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 x14ac:dyDescent="0.3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1:32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 x14ac:dyDescent="0.3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 x14ac:dyDescent="0.3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 x14ac:dyDescent="0.3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 x14ac:dyDescent="0.3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1:32" x14ac:dyDescent="0.3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2" x14ac:dyDescent="0.3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 x14ac:dyDescent="0.3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 x14ac:dyDescent="0.3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2" x14ac:dyDescent="0.3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 x14ac:dyDescent="0.3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 x14ac:dyDescent="0.3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2" x14ac:dyDescent="0.3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 x14ac:dyDescent="0.3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1:32" x14ac:dyDescent="0.3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 x14ac:dyDescent="0.3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 x14ac:dyDescent="0.3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1:32" x14ac:dyDescent="0.3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1:32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2" x14ac:dyDescent="0.3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 x14ac:dyDescent="0.3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 x14ac:dyDescent="0.3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 x14ac:dyDescent="0.3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 x14ac:dyDescent="0.3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1:32" x14ac:dyDescent="0.3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 x14ac:dyDescent="0.3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 x14ac:dyDescent="0.3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1:32" x14ac:dyDescent="0.3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2" x14ac:dyDescent="0.3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 x14ac:dyDescent="0.3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2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 x14ac:dyDescent="0.3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1:32" x14ac:dyDescent="0.3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 x14ac:dyDescent="0.3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 x14ac:dyDescent="0.3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 x14ac:dyDescent="0.3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 x14ac:dyDescent="0.3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 x14ac:dyDescent="0.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 x14ac:dyDescent="0.3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 x14ac:dyDescent="0.3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 x14ac:dyDescent="0.3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 x14ac:dyDescent="0.3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 x14ac:dyDescent="0.3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 x14ac:dyDescent="0.3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 x14ac:dyDescent="0.3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 x14ac:dyDescent="0.3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 x14ac:dyDescent="0.3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 x14ac:dyDescent="0.3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 x14ac:dyDescent="0.3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1:32" x14ac:dyDescent="0.3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 x14ac:dyDescent="0.3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1:32" x14ac:dyDescent="0.3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 x14ac:dyDescent="0.3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2" x14ac:dyDescent="0.3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 x14ac:dyDescent="0.3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1:32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1:32" x14ac:dyDescent="0.3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 x14ac:dyDescent="0.3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 x14ac:dyDescent="0.3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 x14ac:dyDescent="0.3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 x14ac:dyDescent="0.3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 x14ac:dyDescent="0.3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2" x14ac:dyDescent="0.3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1:32" x14ac:dyDescent="0.3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 x14ac:dyDescent="0.3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 x14ac:dyDescent="0.3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 x14ac:dyDescent="0.3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1:32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 x14ac:dyDescent="0.3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 x14ac:dyDescent="0.3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2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 x14ac:dyDescent="0.3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2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1:32" x14ac:dyDescent="0.3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 x14ac:dyDescent="0.3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 x14ac:dyDescent="0.3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1:32" x14ac:dyDescent="0.3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2" x14ac:dyDescent="0.3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 x14ac:dyDescent="0.3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 x14ac:dyDescent="0.3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 x14ac:dyDescent="0.3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 x14ac:dyDescent="0.3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 x14ac:dyDescent="0.3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 x14ac:dyDescent="0.3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 x14ac:dyDescent="0.3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 x14ac:dyDescent="0.3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 x14ac:dyDescent="0.3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 x14ac:dyDescent="0.3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 x14ac:dyDescent="0.3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 x14ac:dyDescent="0.3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 x14ac:dyDescent="0.3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 x14ac:dyDescent="0.3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1:32" x14ac:dyDescent="0.3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 x14ac:dyDescent="0.3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 x14ac:dyDescent="0.3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2" x14ac:dyDescent="0.3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 x14ac:dyDescent="0.3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 x14ac:dyDescent="0.3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 x14ac:dyDescent="0.3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 x14ac:dyDescent="0.3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 x14ac:dyDescent="0.3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 x14ac:dyDescent="0.3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 x14ac:dyDescent="0.3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 x14ac:dyDescent="0.3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2" x14ac:dyDescent="0.3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 x14ac:dyDescent="0.3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2" x14ac:dyDescent="0.3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 x14ac:dyDescent="0.3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2" x14ac:dyDescent="0.3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 x14ac:dyDescent="0.3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 x14ac:dyDescent="0.3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2" x14ac:dyDescent="0.3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 x14ac:dyDescent="0.3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 x14ac:dyDescent="0.3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2" x14ac:dyDescent="0.3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 x14ac:dyDescent="0.3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 x14ac:dyDescent="0.3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 x14ac:dyDescent="0.3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 x14ac:dyDescent="0.3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 x14ac:dyDescent="0.3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2" x14ac:dyDescent="0.3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 x14ac:dyDescent="0.3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2" x14ac:dyDescent="0.3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 x14ac:dyDescent="0.3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 x14ac:dyDescent="0.3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 x14ac:dyDescent="0.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 x14ac:dyDescent="0.3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1:32" x14ac:dyDescent="0.3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1:32" x14ac:dyDescent="0.3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1:32" x14ac:dyDescent="0.3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 x14ac:dyDescent="0.3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2" x14ac:dyDescent="0.3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 x14ac:dyDescent="0.3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 x14ac:dyDescent="0.3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 x14ac:dyDescent="0.3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 x14ac:dyDescent="0.3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 x14ac:dyDescent="0.3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 x14ac:dyDescent="0.3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 x14ac:dyDescent="0.3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 x14ac:dyDescent="0.3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 x14ac:dyDescent="0.3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 x14ac:dyDescent="0.3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 x14ac:dyDescent="0.3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 x14ac:dyDescent="0.3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 x14ac:dyDescent="0.3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 x14ac:dyDescent="0.3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1:32" x14ac:dyDescent="0.3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 x14ac:dyDescent="0.3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 x14ac:dyDescent="0.3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1:32" x14ac:dyDescent="0.3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 x14ac:dyDescent="0.3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 x14ac:dyDescent="0.3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1:32" x14ac:dyDescent="0.3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 x14ac:dyDescent="0.3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 x14ac:dyDescent="0.3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 x14ac:dyDescent="0.3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2" x14ac:dyDescent="0.3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 x14ac:dyDescent="0.3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 x14ac:dyDescent="0.3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 x14ac:dyDescent="0.3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 x14ac:dyDescent="0.3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 x14ac:dyDescent="0.3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 x14ac:dyDescent="0.3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 x14ac:dyDescent="0.3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 x14ac:dyDescent="0.3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 x14ac:dyDescent="0.3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 x14ac:dyDescent="0.3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 x14ac:dyDescent="0.3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 x14ac:dyDescent="0.3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 x14ac:dyDescent="0.3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 x14ac:dyDescent="0.3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 x14ac:dyDescent="0.3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 x14ac:dyDescent="0.3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 x14ac:dyDescent="0.3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 x14ac:dyDescent="0.3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 x14ac:dyDescent="0.3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 x14ac:dyDescent="0.3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 x14ac:dyDescent="0.3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 x14ac:dyDescent="0.3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 x14ac:dyDescent="0.3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 x14ac:dyDescent="0.3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 x14ac:dyDescent="0.3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 x14ac:dyDescent="0.3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 x14ac:dyDescent="0.3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 x14ac:dyDescent="0.3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 x14ac:dyDescent="0.3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 x14ac:dyDescent="0.3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 x14ac:dyDescent="0.3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 x14ac:dyDescent="0.3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 x14ac:dyDescent="0.3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 x14ac:dyDescent="0.3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 x14ac:dyDescent="0.3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 x14ac:dyDescent="0.3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 x14ac:dyDescent="0.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 x14ac:dyDescent="0.3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 x14ac:dyDescent="0.3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 x14ac:dyDescent="0.3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 x14ac:dyDescent="0.3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 x14ac:dyDescent="0.3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 x14ac:dyDescent="0.3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 x14ac:dyDescent="0.3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 x14ac:dyDescent="0.3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 x14ac:dyDescent="0.3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 x14ac:dyDescent="0.3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 x14ac:dyDescent="0.3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spans="1:32" x14ac:dyDescent="0.3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 x14ac:dyDescent="0.3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spans="1:32" x14ac:dyDescent="0.3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 x14ac:dyDescent="0.3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spans="1:32" x14ac:dyDescent="0.3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2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 x14ac:dyDescent="0.3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 x14ac:dyDescent="0.3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spans="1:32" x14ac:dyDescent="0.3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 x14ac:dyDescent="0.3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spans="1:32" x14ac:dyDescent="0.3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 x14ac:dyDescent="0.3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spans="1:32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 x14ac:dyDescent="0.3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 x14ac:dyDescent="0.3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 x14ac:dyDescent="0.3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 x14ac:dyDescent="0.3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2" x14ac:dyDescent="0.3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 x14ac:dyDescent="0.3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 x14ac:dyDescent="0.3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2" x14ac:dyDescent="0.3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 x14ac:dyDescent="0.3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 x14ac:dyDescent="0.3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2" x14ac:dyDescent="0.3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 x14ac:dyDescent="0.3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 x14ac:dyDescent="0.3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 x14ac:dyDescent="0.3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 x14ac:dyDescent="0.3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spans="1:32" x14ac:dyDescent="0.3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 x14ac:dyDescent="0.3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spans="1:32" x14ac:dyDescent="0.3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 x14ac:dyDescent="0.3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 x14ac:dyDescent="0.3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 x14ac:dyDescent="0.3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 x14ac:dyDescent="0.3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 x14ac:dyDescent="0.3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 x14ac:dyDescent="0.3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2" x14ac:dyDescent="0.3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 x14ac:dyDescent="0.3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spans="1:32" x14ac:dyDescent="0.3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 x14ac:dyDescent="0.3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 x14ac:dyDescent="0.3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spans="1:32" x14ac:dyDescent="0.3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spans="1:32" x14ac:dyDescent="0.3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spans="1:32" x14ac:dyDescent="0.3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spans="1:32" x14ac:dyDescent="0.3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spans="1:32" x14ac:dyDescent="0.3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spans="1:32" x14ac:dyDescent="0.3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spans="1:32" x14ac:dyDescent="0.3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spans="1:32" x14ac:dyDescent="0.3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spans="1:32" x14ac:dyDescent="0.3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spans="1:32" x14ac:dyDescent="0.3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spans="1:32" x14ac:dyDescent="0.3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spans="1:32" x14ac:dyDescent="0.3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spans="1:32" x14ac:dyDescent="0.3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spans="1:32" x14ac:dyDescent="0.3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spans="1:32" x14ac:dyDescent="0.3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spans="1:32" x14ac:dyDescent="0.3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spans="1:32" x14ac:dyDescent="0.3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spans="1:32" x14ac:dyDescent="0.3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spans="1:32" x14ac:dyDescent="0.3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spans="1:32" x14ac:dyDescent="0.3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spans="1:32" x14ac:dyDescent="0.3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spans="1:32" x14ac:dyDescent="0.3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spans="1:32" x14ac:dyDescent="0.3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spans="1:32" x14ac:dyDescent="0.3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spans="1:32" x14ac:dyDescent="0.3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spans="1:32" x14ac:dyDescent="0.3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spans="1:32" x14ac:dyDescent="0.3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spans="1:32" x14ac:dyDescent="0.3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spans="1:32" x14ac:dyDescent="0.3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66666"/>
    <outlinePr summaryBelow="0" summaryRight="0"/>
  </sheetPr>
  <dimension ref="A1:AF1031"/>
  <sheetViews>
    <sheetView topLeftCell="T3" workbookViewId="0">
      <selection activeCell="C3" sqref="C3"/>
    </sheetView>
  </sheetViews>
  <sheetFormatPr defaultColWidth="12.59765625" defaultRowHeight="15.75" customHeight="1" x14ac:dyDescent="0.35"/>
  <cols>
    <col min="2" max="2" width="14.86328125" customWidth="1"/>
    <col min="3" max="3" width="13.73046875" customWidth="1"/>
    <col min="4" max="4" width="19.46484375" customWidth="1"/>
    <col min="18" max="18" width="16.59765625" customWidth="1"/>
  </cols>
  <sheetData>
    <row r="1" spans="1:32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x14ac:dyDescent="0.35">
      <c r="A2" s="12" t="s">
        <v>0</v>
      </c>
      <c r="B2" s="12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x14ac:dyDescent="0.35">
      <c r="A3" s="5"/>
      <c r="B3" s="5" t="s">
        <v>120</v>
      </c>
      <c r="C3" s="5" t="s">
        <v>317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x14ac:dyDescent="0.35">
      <c r="A4" s="5"/>
      <c r="B4" s="5" t="s">
        <v>16</v>
      </c>
      <c r="C4" s="5" t="s">
        <v>287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x14ac:dyDescent="0.35">
      <c r="A5" s="5"/>
      <c r="B5" s="5" t="s">
        <v>102</v>
      </c>
      <c r="C5" s="1" t="s">
        <v>30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x14ac:dyDescent="0.35">
      <c r="A6" s="5"/>
      <c r="B6" s="5" t="s">
        <v>19</v>
      </c>
      <c r="C6" s="5" t="s">
        <v>33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x14ac:dyDescent="0.35">
      <c r="A7" s="14" t="s">
        <v>0</v>
      </c>
      <c r="B7" s="14" t="s">
        <v>11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35">
      <c r="A9" s="12" t="s">
        <v>300</v>
      </c>
      <c r="B9" s="12" t="s">
        <v>1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x14ac:dyDescent="0.35">
      <c r="A10" s="7" t="s">
        <v>3</v>
      </c>
      <c r="B10" s="7" t="s">
        <v>16</v>
      </c>
      <c r="C10" s="7" t="s">
        <v>301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35">
      <c r="A11" s="7"/>
      <c r="B11" s="7"/>
      <c r="C11" s="7" t="s">
        <v>140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35">
      <c r="A12" s="5" t="s">
        <v>3</v>
      </c>
      <c r="B12" s="5" t="s">
        <v>302</v>
      </c>
      <c r="C12" s="7" t="s">
        <v>303</v>
      </c>
      <c r="D12" s="7" t="s">
        <v>14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x14ac:dyDescent="0.35">
      <c r="A13" s="5"/>
      <c r="B13" s="5" t="s">
        <v>302</v>
      </c>
      <c r="C13" s="7" t="s">
        <v>304</v>
      </c>
      <c r="D13" s="7" t="s">
        <v>198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x14ac:dyDescent="0.35">
      <c r="A14" s="5"/>
      <c r="B14" s="5" t="s">
        <v>302</v>
      </c>
      <c r="C14" s="7" t="s">
        <v>305</v>
      </c>
      <c r="D14" s="7" t="s">
        <v>306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35">
      <c r="A15" s="14" t="s">
        <v>300</v>
      </c>
      <c r="B15" s="14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35">
      <c r="A17" s="12" t="s">
        <v>292</v>
      </c>
      <c r="B17" s="12" t="s">
        <v>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x14ac:dyDescent="0.35">
      <c r="A18" s="1" t="s">
        <v>3</v>
      </c>
      <c r="B18" s="1" t="s">
        <v>78</v>
      </c>
      <c r="C18" s="1" t="s">
        <v>165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x14ac:dyDescent="0.35">
      <c r="A19" s="1"/>
      <c r="B19" s="1" t="s">
        <v>78</v>
      </c>
      <c r="C19" s="1" t="s">
        <v>84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x14ac:dyDescent="0.35">
      <c r="A20" s="5" t="s">
        <v>3</v>
      </c>
      <c r="B20" s="5" t="s">
        <v>150</v>
      </c>
      <c r="C20" s="5" t="s">
        <v>307</v>
      </c>
      <c r="D20" s="5" t="s">
        <v>308</v>
      </c>
      <c r="E20" s="7" t="s">
        <v>309</v>
      </c>
      <c r="F20" s="7" t="s">
        <v>310</v>
      </c>
      <c r="G20" s="5"/>
      <c r="H20" s="7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x14ac:dyDescent="0.35">
      <c r="A21" s="5"/>
      <c r="B21" s="13">
        <v>2025</v>
      </c>
      <c r="C21" s="5">
        <v>73.45</v>
      </c>
      <c r="D21" s="5" t="s">
        <v>311</v>
      </c>
      <c r="E21" s="15">
        <v>1</v>
      </c>
      <c r="F21" s="16">
        <v>0.64400000000000002</v>
      </c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7"/>
      <c r="T21" s="5"/>
      <c r="U21" s="5"/>
      <c r="V21" s="5"/>
      <c r="W21" s="5"/>
      <c r="X21" s="5"/>
      <c r="Y21" s="5"/>
      <c r="Z21" s="5"/>
      <c r="AA21" s="5"/>
      <c r="AB21" s="5"/>
      <c r="AC21" s="5"/>
      <c r="AD21" s="1"/>
      <c r="AE21" s="5"/>
      <c r="AF21" s="5"/>
    </row>
    <row r="22" spans="1:32" x14ac:dyDescent="0.35">
      <c r="A22" s="5"/>
      <c r="B22" s="13">
        <v>2026</v>
      </c>
      <c r="C22" s="5" t="s">
        <v>312</v>
      </c>
      <c r="D22" s="5" t="s">
        <v>311</v>
      </c>
      <c r="E22" s="16">
        <v>0.97499999999999998</v>
      </c>
      <c r="F22" s="16">
        <v>0.60099999999999998</v>
      </c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1"/>
      <c r="AE22" s="5"/>
      <c r="AF22" s="5"/>
    </row>
    <row r="23" spans="1:32" x14ac:dyDescent="0.35">
      <c r="A23" s="5"/>
      <c r="B23" s="13">
        <v>2027</v>
      </c>
      <c r="C23" s="5" t="s">
        <v>312</v>
      </c>
      <c r="D23" s="5" t="s">
        <v>311</v>
      </c>
      <c r="E23" s="16">
        <v>0.95</v>
      </c>
      <c r="F23" s="16">
        <v>0.55800000000000005</v>
      </c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1"/>
      <c r="AE23" s="5"/>
      <c r="AF23" s="5"/>
    </row>
    <row r="24" spans="1:32" x14ac:dyDescent="0.35">
      <c r="A24" s="5"/>
      <c r="B24" s="13">
        <v>2028</v>
      </c>
      <c r="C24" s="5" t="s">
        <v>312</v>
      </c>
      <c r="D24" s="5" t="s">
        <v>311</v>
      </c>
      <c r="E24" s="16">
        <v>0.9</v>
      </c>
      <c r="F24" s="16">
        <v>0.51400000000000001</v>
      </c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1"/>
      <c r="AE24" s="5"/>
      <c r="AF24" s="5"/>
    </row>
    <row r="25" spans="1:32" x14ac:dyDescent="0.35">
      <c r="A25" s="5"/>
      <c r="B25" s="13">
        <v>2029</v>
      </c>
      <c r="C25" s="5" t="s">
        <v>312</v>
      </c>
      <c r="D25" s="5" t="s">
        <v>311</v>
      </c>
      <c r="E25" s="16">
        <v>0.77500000000000002</v>
      </c>
      <c r="F25" s="16">
        <v>0.46400000000000002</v>
      </c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1"/>
      <c r="AE25" s="5"/>
      <c r="AF25" s="5"/>
    </row>
    <row r="26" spans="1:32" x14ac:dyDescent="0.35">
      <c r="A26" s="5"/>
      <c r="B26" s="13">
        <v>2030</v>
      </c>
      <c r="C26" s="5">
        <v>108</v>
      </c>
      <c r="D26" s="5" t="s">
        <v>311</v>
      </c>
      <c r="E26" s="16">
        <v>0.51500000000000001</v>
      </c>
      <c r="F26" s="16">
        <v>0.39400000000000002</v>
      </c>
      <c r="G26" s="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1"/>
      <c r="AE26" s="5"/>
      <c r="AF26" s="5"/>
    </row>
    <row r="27" spans="1:32" x14ac:dyDescent="0.35">
      <c r="A27" s="5"/>
      <c r="B27" s="13">
        <v>2031</v>
      </c>
      <c r="C27" s="5" t="s">
        <v>312</v>
      </c>
      <c r="D27" s="5" t="s">
        <v>311</v>
      </c>
      <c r="E27" s="16">
        <v>0.39</v>
      </c>
      <c r="F27" s="16">
        <v>0.314</v>
      </c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1"/>
      <c r="AE27" s="5"/>
      <c r="AF27" s="5"/>
    </row>
    <row r="28" spans="1:32" x14ac:dyDescent="0.35">
      <c r="A28" s="5"/>
      <c r="B28" s="13">
        <v>2032</v>
      </c>
      <c r="C28" s="5" t="s">
        <v>312</v>
      </c>
      <c r="D28" s="5" t="s">
        <v>311</v>
      </c>
      <c r="E28" s="16">
        <v>0.26500000000000001</v>
      </c>
      <c r="F28" s="16">
        <v>0.214</v>
      </c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1"/>
      <c r="AE28" s="5"/>
      <c r="AF28" s="5"/>
    </row>
    <row r="29" spans="1:32" x14ac:dyDescent="0.35">
      <c r="A29" s="5"/>
      <c r="B29" s="13">
        <v>2033</v>
      </c>
      <c r="C29" s="5" t="s">
        <v>312</v>
      </c>
      <c r="D29" s="5" t="s">
        <v>311</v>
      </c>
      <c r="E29" s="16">
        <v>0.14000000000000001</v>
      </c>
      <c r="F29" s="16">
        <v>0.109</v>
      </c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1"/>
      <c r="AE29" s="5"/>
      <c r="AF29" s="5"/>
    </row>
    <row r="30" spans="1:32" x14ac:dyDescent="0.35">
      <c r="A30" s="5"/>
      <c r="B30" s="13">
        <v>2034</v>
      </c>
      <c r="C30" s="5" t="s">
        <v>312</v>
      </c>
      <c r="D30" s="5" t="s">
        <v>311</v>
      </c>
      <c r="E30" s="16">
        <v>0</v>
      </c>
      <c r="F30" s="16">
        <v>0</v>
      </c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1"/>
      <c r="AE30" s="5"/>
      <c r="AF30" s="5"/>
    </row>
    <row r="31" spans="1:32" x14ac:dyDescent="0.35">
      <c r="A31" s="5"/>
      <c r="B31" s="13">
        <v>2035</v>
      </c>
      <c r="C31" s="5">
        <v>135</v>
      </c>
      <c r="D31" s="5" t="s">
        <v>311</v>
      </c>
      <c r="E31" s="16">
        <v>0</v>
      </c>
      <c r="F31" s="16">
        <v>0</v>
      </c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1"/>
      <c r="AE31" s="5"/>
      <c r="AF31" s="5"/>
    </row>
    <row r="32" spans="1:32" x14ac:dyDescent="0.35">
      <c r="A32" s="5"/>
      <c r="B32" s="13">
        <v>2036</v>
      </c>
      <c r="C32" s="5" t="s">
        <v>312</v>
      </c>
      <c r="D32" s="5" t="s">
        <v>311</v>
      </c>
      <c r="E32" s="16">
        <v>0</v>
      </c>
      <c r="F32" s="16">
        <v>0</v>
      </c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1"/>
      <c r="AE32" s="5"/>
      <c r="AF32" s="5"/>
    </row>
    <row r="33" spans="1:32" x14ac:dyDescent="0.35">
      <c r="A33" s="5"/>
      <c r="B33" s="13">
        <v>2037</v>
      </c>
      <c r="C33" s="5" t="s">
        <v>312</v>
      </c>
      <c r="D33" s="5" t="s">
        <v>311</v>
      </c>
      <c r="E33" s="16">
        <v>0</v>
      </c>
      <c r="F33" s="16">
        <v>0</v>
      </c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1"/>
      <c r="AE33" s="5"/>
      <c r="AF33" s="5"/>
    </row>
    <row r="34" spans="1:32" x14ac:dyDescent="0.35">
      <c r="A34" s="5"/>
      <c r="B34" s="13">
        <v>2038</v>
      </c>
      <c r="C34" s="5" t="s">
        <v>312</v>
      </c>
      <c r="D34" s="5" t="s">
        <v>311</v>
      </c>
      <c r="E34" s="16">
        <v>0</v>
      </c>
      <c r="F34" s="16">
        <v>0</v>
      </c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1"/>
      <c r="AE34" s="5"/>
      <c r="AF34" s="5"/>
    </row>
    <row r="35" spans="1:32" x14ac:dyDescent="0.35">
      <c r="A35" s="5"/>
      <c r="B35" s="13">
        <v>2039</v>
      </c>
      <c r="C35" s="5" t="s">
        <v>312</v>
      </c>
      <c r="D35" s="5" t="s">
        <v>311</v>
      </c>
      <c r="E35" s="16">
        <v>0</v>
      </c>
      <c r="F35" s="16">
        <v>0</v>
      </c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1"/>
      <c r="AE35" s="5"/>
      <c r="AF35" s="5"/>
    </row>
    <row r="36" spans="1:32" x14ac:dyDescent="0.35">
      <c r="A36" s="5"/>
      <c r="B36" s="13">
        <v>2040</v>
      </c>
      <c r="C36" s="5">
        <v>162</v>
      </c>
      <c r="D36" s="5" t="s">
        <v>311</v>
      </c>
      <c r="E36" s="16">
        <v>0</v>
      </c>
      <c r="F36" s="16">
        <v>0</v>
      </c>
      <c r="G36" s="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1"/>
      <c r="AE36" s="5"/>
      <c r="AF36" s="5"/>
    </row>
    <row r="37" spans="1:32" x14ac:dyDescent="0.35">
      <c r="A37" s="5"/>
      <c r="B37" s="13">
        <v>2041</v>
      </c>
      <c r="C37" s="5" t="s">
        <v>312</v>
      </c>
      <c r="D37" s="5" t="s">
        <v>311</v>
      </c>
      <c r="E37" s="16">
        <v>0</v>
      </c>
      <c r="F37" s="16">
        <v>0</v>
      </c>
      <c r="G37" s="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1"/>
      <c r="AE37" s="5"/>
      <c r="AF37" s="5"/>
    </row>
    <row r="38" spans="1:32" x14ac:dyDescent="0.35">
      <c r="A38" s="5"/>
      <c r="B38" s="13">
        <v>2042</v>
      </c>
      <c r="C38" s="5" t="s">
        <v>312</v>
      </c>
      <c r="D38" s="5" t="s">
        <v>311</v>
      </c>
      <c r="E38" s="16">
        <v>0</v>
      </c>
      <c r="F38" s="16">
        <v>0</v>
      </c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1"/>
      <c r="AE38" s="5"/>
      <c r="AF38" s="5"/>
    </row>
    <row r="39" spans="1:32" x14ac:dyDescent="0.35">
      <c r="A39" s="5"/>
      <c r="B39" s="13">
        <v>2043</v>
      </c>
      <c r="C39" s="5" t="s">
        <v>312</v>
      </c>
      <c r="D39" s="5" t="s">
        <v>311</v>
      </c>
      <c r="E39" s="16">
        <v>0</v>
      </c>
      <c r="F39" s="16">
        <v>0</v>
      </c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1"/>
      <c r="AE39" s="5"/>
      <c r="AF39" s="5"/>
    </row>
    <row r="40" spans="1:32" x14ac:dyDescent="0.35">
      <c r="A40" s="5"/>
      <c r="B40" s="13">
        <v>2044</v>
      </c>
      <c r="C40" s="5" t="s">
        <v>312</v>
      </c>
      <c r="D40" s="5" t="s">
        <v>311</v>
      </c>
      <c r="E40" s="16">
        <v>0</v>
      </c>
      <c r="F40" s="16">
        <v>0</v>
      </c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1"/>
      <c r="AE40" s="5"/>
      <c r="AF40" s="5"/>
    </row>
    <row r="41" spans="1:32" x14ac:dyDescent="0.35">
      <c r="A41" s="5"/>
      <c r="B41" s="13">
        <v>2045</v>
      </c>
      <c r="C41" s="5">
        <v>351</v>
      </c>
      <c r="D41" s="5" t="s">
        <v>311</v>
      </c>
      <c r="E41" s="16">
        <v>0</v>
      </c>
      <c r="F41" s="16">
        <v>0</v>
      </c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1"/>
      <c r="AE41" s="5"/>
      <c r="AF41" s="5"/>
    </row>
    <row r="42" spans="1:32" x14ac:dyDescent="0.35">
      <c r="A42" s="5"/>
      <c r="B42" s="13">
        <v>2046</v>
      </c>
      <c r="C42" s="5" t="s">
        <v>312</v>
      </c>
      <c r="D42" s="5" t="s">
        <v>311</v>
      </c>
      <c r="E42" s="16">
        <v>0</v>
      </c>
      <c r="F42" s="16">
        <v>0</v>
      </c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1"/>
      <c r="AE42" s="5"/>
      <c r="AF42" s="5"/>
    </row>
    <row r="43" spans="1:32" x14ac:dyDescent="0.35">
      <c r="A43" s="5"/>
      <c r="B43" s="13">
        <v>2047</v>
      </c>
      <c r="C43" s="5" t="s">
        <v>312</v>
      </c>
      <c r="D43" s="5" t="s">
        <v>311</v>
      </c>
      <c r="E43" s="16">
        <v>0</v>
      </c>
      <c r="F43" s="16">
        <v>0</v>
      </c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1"/>
      <c r="AE43" s="5"/>
      <c r="AF43" s="5"/>
    </row>
    <row r="44" spans="1:32" x14ac:dyDescent="0.35">
      <c r="A44" s="5"/>
      <c r="B44" s="13">
        <v>2048</v>
      </c>
      <c r="C44" s="5" t="s">
        <v>312</v>
      </c>
      <c r="D44" s="5" t="s">
        <v>311</v>
      </c>
      <c r="E44" s="16">
        <v>0</v>
      </c>
      <c r="F44" s="16">
        <v>0</v>
      </c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1"/>
      <c r="AE44" s="5"/>
      <c r="AF44" s="5"/>
    </row>
    <row r="45" spans="1:32" x14ac:dyDescent="0.35">
      <c r="A45" s="5"/>
      <c r="B45" s="13">
        <v>2049</v>
      </c>
      <c r="C45" s="5" t="s">
        <v>312</v>
      </c>
      <c r="D45" s="5" t="s">
        <v>311</v>
      </c>
      <c r="E45" s="16">
        <v>0</v>
      </c>
      <c r="F45" s="16">
        <v>0</v>
      </c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1"/>
      <c r="AE45" s="5"/>
      <c r="AF45" s="5"/>
    </row>
    <row r="46" spans="1:32" x14ac:dyDescent="0.35">
      <c r="A46" s="5"/>
      <c r="B46" s="13">
        <v>2050</v>
      </c>
      <c r="C46" s="5">
        <v>414</v>
      </c>
      <c r="D46" s="5" t="s">
        <v>311</v>
      </c>
      <c r="E46" s="16">
        <v>0</v>
      </c>
      <c r="F46" s="16">
        <v>0</v>
      </c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1"/>
      <c r="AE46" s="5"/>
      <c r="AF46" s="5"/>
    </row>
    <row r="47" spans="1:32" x14ac:dyDescent="0.35">
      <c r="A47" s="14" t="s">
        <v>292</v>
      </c>
      <c r="B47" s="14" t="s">
        <v>11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 x14ac:dyDescent="0.3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35">
      <c r="A50" s="12" t="s">
        <v>298</v>
      </c>
      <c r="B50" s="12" t="s">
        <v>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x14ac:dyDescent="0.35">
      <c r="A51" s="1" t="s">
        <v>3</v>
      </c>
      <c r="B51" s="1" t="s">
        <v>78</v>
      </c>
      <c r="C51" s="1" t="s">
        <v>165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x14ac:dyDescent="0.35">
      <c r="A52" s="1"/>
      <c r="B52" s="1" t="s">
        <v>78</v>
      </c>
      <c r="C52" s="1" t="s">
        <v>86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x14ac:dyDescent="0.35">
      <c r="A53" s="5" t="s">
        <v>3</v>
      </c>
      <c r="B53" s="5" t="s">
        <v>150</v>
      </c>
      <c r="C53" s="5" t="s">
        <v>307</v>
      </c>
      <c r="D53" s="5" t="s">
        <v>308</v>
      </c>
      <c r="E53" s="7" t="s">
        <v>309</v>
      </c>
      <c r="F53" s="7" t="s">
        <v>310</v>
      </c>
      <c r="G53" s="5"/>
      <c r="H53" s="7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x14ac:dyDescent="0.35">
      <c r="A54" s="5"/>
      <c r="B54" s="13">
        <v>2025</v>
      </c>
      <c r="C54" s="5">
        <v>73.45</v>
      </c>
      <c r="D54" s="5" t="s">
        <v>311</v>
      </c>
      <c r="E54" s="15">
        <v>1</v>
      </c>
      <c r="F54" s="16">
        <v>0.64400000000000002</v>
      </c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7"/>
      <c r="T54" s="5"/>
      <c r="U54" s="5"/>
      <c r="V54" s="5"/>
      <c r="W54" s="5"/>
      <c r="X54" s="5"/>
      <c r="Y54" s="5"/>
      <c r="Z54" s="5"/>
      <c r="AA54" s="5"/>
      <c r="AB54" s="5"/>
      <c r="AC54" s="5"/>
      <c r="AD54" s="1"/>
      <c r="AE54" s="5"/>
      <c r="AF54" s="5"/>
    </row>
    <row r="55" spans="1:32" x14ac:dyDescent="0.35">
      <c r="A55" s="5"/>
      <c r="B55" s="13">
        <v>2026</v>
      </c>
      <c r="C55" s="5" t="s">
        <v>312</v>
      </c>
      <c r="D55" s="5" t="s">
        <v>311</v>
      </c>
      <c r="E55" s="16">
        <v>0.97499999999999998</v>
      </c>
      <c r="F55" s="16">
        <v>0.60099999999999998</v>
      </c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1"/>
      <c r="AE55" s="5"/>
      <c r="AF55" s="5"/>
    </row>
    <row r="56" spans="1:32" x14ac:dyDescent="0.35">
      <c r="A56" s="5"/>
      <c r="B56" s="13">
        <v>2027</v>
      </c>
      <c r="C56" s="5" t="s">
        <v>312</v>
      </c>
      <c r="D56" s="5" t="s">
        <v>311</v>
      </c>
      <c r="E56" s="16">
        <v>0.95</v>
      </c>
      <c r="F56" s="16">
        <v>0.55800000000000005</v>
      </c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1"/>
      <c r="AE56" s="5"/>
      <c r="AF56" s="5"/>
    </row>
    <row r="57" spans="1:32" x14ac:dyDescent="0.35">
      <c r="A57" s="5"/>
      <c r="B57" s="13">
        <v>2028</v>
      </c>
      <c r="C57" s="5" t="s">
        <v>312</v>
      </c>
      <c r="D57" s="5" t="s">
        <v>311</v>
      </c>
      <c r="E57" s="16">
        <v>0.9</v>
      </c>
      <c r="F57" s="16">
        <v>0.51400000000000001</v>
      </c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1"/>
      <c r="AE57" s="5"/>
      <c r="AF57" s="5"/>
    </row>
    <row r="58" spans="1:32" x14ac:dyDescent="0.35">
      <c r="A58" s="5"/>
      <c r="B58" s="13">
        <v>2029</v>
      </c>
      <c r="C58" s="5" t="s">
        <v>312</v>
      </c>
      <c r="D58" s="5" t="s">
        <v>311</v>
      </c>
      <c r="E58" s="16">
        <v>0.77500000000000002</v>
      </c>
      <c r="F58" s="16">
        <v>0.46400000000000002</v>
      </c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1"/>
      <c r="AE58" s="5"/>
      <c r="AF58" s="5"/>
    </row>
    <row r="59" spans="1:32" x14ac:dyDescent="0.35">
      <c r="A59" s="5"/>
      <c r="B59" s="13">
        <v>2030</v>
      </c>
      <c r="C59" s="5">
        <v>122</v>
      </c>
      <c r="D59" s="5" t="s">
        <v>311</v>
      </c>
      <c r="E59" s="16">
        <v>0.51500000000000001</v>
      </c>
      <c r="F59" s="16">
        <v>0.39400000000000002</v>
      </c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1"/>
      <c r="AE59" s="5"/>
      <c r="AF59" s="5"/>
    </row>
    <row r="60" spans="1:32" x14ac:dyDescent="0.35">
      <c r="A60" s="5"/>
      <c r="B60" s="13">
        <v>2031</v>
      </c>
      <c r="C60" s="5" t="s">
        <v>312</v>
      </c>
      <c r="D60" s="5" t="s">
        <v>311</v>
      </c>
      <c r="E60" s="16">
        <v>0.39</v>
      </c>
      <c r="F60" s="16">
        <v>0.314</v>
      </c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1"/>
      <c r="AE60" s="5"/>
      <c r="AF60" s="5"/>
    </row>
    <row r="61" spans="1:32" x14ac:dyDescent="0.35">
      <c r="A61" s="5"/>
      <c r="B61" s="13">
        <v>2032</v>
      </c>
      <c r="C61" s="5" t="s">
        <v>312</v>
      </c>
      <c r="D61" s="5" t="s">
        <v>311</v>
      </c>
      <c r="E61" s="16">
        <v>0.26500000000000001</v>
      </c>
      <c r="F61" s="16">
        <v>0.214</v>
      </c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1"/>
      <c r="AE61" s="5"/>
      <c r="AF61" s="5"/>
    </row>
    <row r="62" spans="1:32" x14ac:dyDescent="0.35">
      <c r="A62" s="5"/>
      <c r="B62" s="13">
        <v>2033</v>
      </c>
      <c r="C62" s="5" t="s">
        <v>312</v>
      </c>
      <c r="D62" s="5" t="s">
        <v>311</v>
      </c>
      <c r="E62" s="16">
        <v>0.14000000000000001</v>
      </c>
      <c r="F62" s="16">
        <v>0.109</v>
      </c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1"/>
      <c r="AE62" s="5"/>
      <c r="AF62" s="5"/>
    </row>
    <row r="63" spans="1:32" x14ac:dyDescent="0.35">
      <c r="A63" s="5"/>
      <c r="B63" s="13">
        <v>2034</v>
      </c>
      <c r="C63" s="5" t="s">
        <v>312</v>
      </c>
      <c r="D63" s="5" t="s">
        <v>311</v>
      </c>
      <c r="E63" s="16">
        <v>0</v>
      </c>
      <c r="F63" s="16">
        <v>0</v>
      </c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1"/>
      <c r="AE63" s="5"/>
      <c r="AF63" s="5"/>
    </row>
    <row r="64" spans="1:32" x14ac:dyDescent="0.35">
      <c r="A64" s="5"/>
      <c r="B64" s="13">
        <v>2035</v>
      </c>
      <c r="C64" s="5">
        <v>152.5</v>
      </c>
      <c r="D64" s="5" t="s">
        <v>311</v>
      </c>
      <c r="E64" s="16">
        <v>0</v>
      </c>
      <c r="F64" s="16">
        <v>0</v>
      </c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1"/>
      <c r="AE64" s="5"/>
      <c r="AF64" s="5"/>
    </row>
    <row r="65" spans="1:32" x14ac:dyDescent="0.35">
      <c r="A65" s="5"/>
      <c r="B65" s="13">
        <v>2036</v>
      </c>
      <c r="C65" s="5" t="s">
        <v>312</v>
      </c>
      <c r="D65" s="5" t="s">
        <v>311</v>
      </c>
      <c r="E65" s="16">
        <v>0</v>
      </c>
      <c r="F65" s="16">
        <v>0</v>
      </c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1"/>
      <c r="AE65" s="5"/>
      <c r="AF65" s="5"/>
    </row>
    <row r="66" spans="1:32" x14ac:dyDescent="0.35">
      <c r="A66" s="5"/>
      <c r="B66" s="13">
        <v>2037</v>
      </c>
      <c r="C66" s="5" t="s">
        <v>312</v>
      </c>
      <c r="D66" s="5" t="s">
        <v>311</v>
      </c>
      <c r="E66" s="16">
        <v>0</v>
      </c>
      <c r="F66" s="16">
        <v>0</v>
      </c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1"/>
      <c r="AE66" s="5"/>
      <c r="AF66" s="5"/>
    </row>
    <row r="67" spans="1:32" x14ac:dyDescent="0.35">
      <c r="A67" s="5"/>
      <c r="B67" s="13">
        <v>2038</v>
      </c>
      <c r="C67" s="5" t="s">
        <v>312</v>
      </c>
      <c r="D67" s="5" t="s">
        <v>311</v>
      </c>
      <c r="E67" s="16">
        <v>0</v>
      </c>
      <c r="F67" s="16">
        <v>0</v>
      </c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1"/>
      <c r="AE67" s="5"/>
      <c r="AF67" s="5"/>
    </row>
    <row r="68" spans="1:32" x14ac:dyDescent="0.35">
      <c r="A68" s="5"/>
      <c r="B68" s="13">
        <v>2039</v>
      </c>
      <c r="C68" s="5" t="s">
        <v>312</v>
      </c>
      <c r="D68" s="5" t="s">
        <v>311</v>
      </c>
      <c r="E68" s="16">
        <v>0</v>
      </c>
      <c r="F68" s="16">
        <v>0</v>
      </c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1"/>
      <c r="AE68" s="5"/>
      <c r="AF68" s="5"/>
    </row>
    <row r="69" spans="1:32" x14ac:dyDescent="0.35">
      <c r="A69" s="5"/>
      <c r="B69" s="13">
        <v>2040</v>
      </c>
      <c r="C69" s="5">
        <v>183</v>
      </c>
      <c r="D69" s="5" t="s">
        <v>311</v>
      </c>
      <c r="E69" s="16">
        <v>0</v>
      </c>
      <c r="F69" s="16">
        <v>0</v>
      </c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1"/>
      <c r="AE69" s="5"/>
      <c r="AF69" s="5"/>
    </row>
    <row r="70" spans="1:32" x14ac:dyDescent="0.35">
      <c r="A70" s="5"/>
      <c r="B70" s="13">
        <v>2041</v>
      </c>
      <c r="C70" s="5" t="s">
        <v>312</v>
      </c>
      <c r="D70" s="5" t="s">
        <v>311</v>
      </c>
      <c r="E70" s="16">
        <v>0</v>
      </c>
      <c r="F70" s="16">
        <v>0</v>
      </c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1"/>
      <c r="AE70" s="5"/>
      <c r="AF70" s="5"/>
    </row>
    <row r="71" spans="1:32" x14ac:dyDescent="0.35">
      <c r="A71" s="5"/>
      <c r="B71" s="13">
        <v>2042</v>
      </c>
      <c r="C71" s="5" t="s">
        <v>312</v>
      </c>
      <c r="D71" s="5" t="s">
        <v>311</v>
      </c>
      <c r="E71" s="16">
        <v>0</v>
      </c>
      <c r="F71" s="16">
        <v>0</v>
      </c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1"/>
      <c r="AE71" s="5"/>
      <c r="AF71" s="5"/>
    </row>
    <row r="72" spans="1:32" x14ac:dyDescent="0.35">
      <c r="A72" s="5"/>
      <c r="B72" s="13">
        <v>2043</v>
      </c>
      <c r="C72" s="5" t="s">
        <v>312</v>
      </c>
      <c r="D72" s="5" t="s">
        <v>311</v>
      </c>
      <c r="E72" s="16">
        <v>0</v>
      </c>
      <c r="F72" s="16">
        <v>0</v>
      </c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1"/>
      <c r="AE72" s="5"/>
      <c r="AF72" s="5"/>
    </row>
    <row r="73" spans="1:32" x14ac:dyDescent="0.35">
      <c r="A73" s="5"/>
      <c r="B73" s="13">
        <v>2044</v>
      </c>
      <c r="C73" s="5" t="s">
        <v>312</v>
      </c>
      <c r="D73" s="5" t="s">
        <v>311</v>
      </c>
      <c r="E73" s="16">
        <v>0</v>
      </c>
      <c r="F73" s="16">
        <v>0</v>
      </c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1"/>
      <c r="AE73" s="5"/>
      <c r="AF73" s="5"/>
    </row>
    <row r="74" spans="1:32" x14ac:dyDescent="0.35">
      <c r="A74" s="5"/>
      <c r="B74" s="13">
        <v>2045</v>
      </c>
      <c r="C74" s="5">
        <v>396.5</v>
      </c>
      <c r="D74" s="5" t="s">
        <v>311</v>
      </c>
      <c r="E74" s="16">
        <v>0</v>
      </c>
      <c r="F74" s="16">
        <v>0</v>
      </c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1"/>
      <c r="AE74" s="5"/>
      <c r="AF74" s="5"/>
    </row>
    <row r="75" spans="1:32" x14ac:dyDescent="0.35">
      <c r="A75" s="5"/>
      <c r="B75" s="13">
        <v>2046</v>
      </c>
      <c r="C75" s="5" t="s">
        <v>312</v>
      </c>
      <c r="D75" s="5" t="s">
        <v>311</v>
      </c>
      <c r="E75" s="16">
        <v>0</v>
      </c>
      <c r="F75" s="16">
        <v>0</v>
      </c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1"/>
      <c r="AE75" s="5"/>
      <c r="AF75" s="5"/>
    </row>
    <row r="76" spans="1:32" x14ac:dyDescent="0.35">
      <c r="A76" s="5"/>
      <c r="B76" s="13">
        <v>2047</v>
      </c>
      <c r="C76" s="5" t="s">
        <v>312</v>
      </c>
      <c r="D76" s="5" t="s">
        <v>311</v>
      </c>
      <c r="E76" s="16">
        <v>0</v>
      </c>
      <c r="F76" s="16">
        <v>0</v>
      </c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1"/>
      <c r="AE76" s="5"/>
      <c r="AF76" s="5"/>
    </row>
    <row r="77" spans="1:32" x14ac:dyDescent="0.35">
      <c r="A77" s="5"/>
      <c r="B77" s="13">
        <v>2048</v>
      </c>
      <c r="C77" s="5" t="s">
        <v>312</v>
      </c>
      <c r="D77" s="5" t="s">
        <v>311</v>
      </c>
      <c r="E77" s="16">
        <v>0</v>
      </c>
      <c r="F77" s="16">
        <v>0</v>
      </c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1"/>
      <c r="AE77" s="5"/>
      <c r="AF77" s="5"/>
    </row>
    <row r="78" spans="1:32" x14ac:dyDescent="0.35">
      <c r="A78" s="5"/>
      <c r="B78" s="13">
        <v>2049</v>
      </c>
      <c r="C78" s="5" t="s">
        <v>312</v>
      </c>
      <c r="D78" s="5" t="s">
        <v>311</v>
      </c>
      <c r="E78" s="16">
        <v>0</v>
      </c>
      <c r="F78" s="16">
        <v>0</v>
      </c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1"/>
      <c r="AE78" s="5"/>
      <c r="AF78" s="5"/>
    </row>
    <row r="79" spans="1:32" x14ac:dyDescent="0.35">
      <c r="A79" s="5"/>
      <c r="B79" s="13">
        <v>2050</v>
      </c>
      <c r="C79" s="5">
        <v>467.67</v>
      </c>
      <c r="D79" s="5" t="s">
        <v>311</v>
      </c>
      <c r="E79" s="16">
        <v>0</v>
      </c>
      <c r="F79" s="16">
        <v>0</v>
      </c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1"/>
      <c r="AE79" s="5"/>
      <c r="AF79" s="5"/>
    </row>
    <row r="80" spans="1:32" x14ac:dyDescent="0.35">
      <c r="A80" s="14" t="s">
        <v>298</v>
      </c>
      <c r="B80" s="14" t="s">
        <v>11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x14ac:dyDescent="0.3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3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35">
      <c r="A83" s="12" t="s">
        <v>299</v>
      </c>
      <c r="B83" s="12" t="s">
        <v>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x14ac:dyDescent="0.35">
      <c r="A84" s="1" t="s">
        <v>3</v>
      </c>
      <c r="B84" s="1" t="s">
        <v>78</v>
      </c>
      <c r="C84" s="1" t="s">
        <v>165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x14ac:dyDescent="0.35">
      <c r="A85" s="1"/>
      <c r="B85" s="1" t="s">
        <v>78</v>
      </c>
      <c r="C85" s="1" t="s">
        <v>88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x14ac:dyDescent="0.35">
      <c r="A86" s="5" t="s">
        <v>3</v>
      </c>
      <c r="B86" s="5" t="s">
        <v>150</v>
      </c>
      <c r="C86" s="5" t="s">
        <v>307</v>
      </c>
      <c r="D86" s="5" t="s">
        <v>308</v>
      </c>
      <c r="E86" s="7" t="s">
        <v>309</v>
      </c>
      <c r="F86" s="7" t="s">
        <v>310</v>
      </c>
      <c r="G86" s="5"/>
      <c r="H86" s="7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x14ac:dyDescent="0.35">
      <c r="A87" s="5"/>
      <c r="B87" s="13">
        <v>2025</v>
      </c>
      <c r="C87" s="5">
        <v>73.45</v>
      </c>
      <c r="D87" s="5" t="s">
        <v>311</v>
      </c>
      <c r="E87" s="15">
        <v>1</v>
      </c>
      <c r="F87" s="16">
        <v>0.64400000000000002</v>
      </c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7"/>
      <c r="T87" s="5"/>
      <c r="U87" s="5"/>
      <c r="V87" s="5"/>
      <c r="W87" s="5"/>
      <c r="X87" s="5"/>
      <c r="Y87" s="5"/>
      <c r="Z87" s="5"/>
      <c r="AA87" s="5"/>
      <c r="AB87" s="5"/>
      <c r="AC87" s="5"/>
      <c r="AD87" s="1"/>
      <c r="AE87" s="5"/>
      <c r="AF87" s="5"/>
    </row>
    <row r="88" spans="1:32" x14ac:dyDescent="0.35">
      <c r="A88" s="5"/>
      <c r="B88" s="13">
        <v>2026</v>
      </c>
      <c r="C88" s="5" t="s">
        <v>312</v>
      </c>
      <c r="D88" s="5" t="s">
        <v>311</v>
      </c>
      <c r="E88" s="16">
        <v>0.97499999999999998</v>
      </c>
      <c r="F88" s="16">
        <v>0.60099999999999998</v>
      </c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1"/>
      <c r="AE88" s="5"/>
      <c r="AF88" s="5"/>
    </row>
    <row r="89" spans="1:32" x14ac:dyDescent="0.35">
      <c r="A89" s="5"/>
      <c r="B89" s="13">
        <v>2027</v>
      </c>
      <c r="C89" s="5" t="s">
        <v>312</v>
      </c>
      <c r="D89" s="5" t="s">
        <v>311</v>
      </c>
      <c r="E89" s="16">
        <v>0.95</v>
      </c>
      <c r="F89" s="16">
        <v>0.55800000000000005</v>
      </c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1"/>
      <c r="AE89" s="5"/>
      <c r="AF89" s="5"/>
    </row>
    <row r="90" spans="1:32" x14ac:dyDescent="0.35">
      <c r="A90" s="5"/>
      <c r="B90" s="13">
        <v>2028</v>
      </c>
      <c r="C90" s="5" t="s">
        <v>312</v>
      </c>
      <c r="D90" s="5" t="s">
        <v>311</v>
      </c>
      <c r="E90" s="16">
        <v>0.9</v>
      </c>
      <c r="F90" s="16">
        <v>0.51400000000000001</v>
      </c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1"/>
      <c r="AE90" s="5"/>
      <c r="AF90" s="5"/>
    </row>
    <row r="91" spans="1:32" x14ac:dyDescent="0.35">
      <c r="A91" s="5"/>
      <c r="B91" s="13">
        <v>2029</v>
      </c>
      <c r="C91" s="5" t="s">
        <v>312</v>
      </c>
      <c r="D91" s="5" t="s">
        <v>311</v>
      </c>
      <c r="E91" s="16">
        <v>0.77500000000000002</v>
      </c>
      <c r="F91" s="16">
        <v>0.46400000000000002</v>
      </c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1"/>
      <c r="AE91" s="5"/>
      <c r="AF91" s="5"/>
    </row>
    <row r="92" spans="1:32" x14ac:dyDescent="0.35">
      <c r="A92" s="5"/>
      <c r="B92" s="13">
        <v>2030</v>
      </c>
      <c r="C92" s="5">
        <v>134</v>
      </c>
      <c r="D92" s="5" t="s">
        <v>311</v>
      </c>
      <c r="E92" s="16">
        <v>0.51500000000000001</v>
      </c>
      <c r="F92" s="16">
        <v>0.39400000000000002</v>
      </c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1"/>
      <c r="AE92" s="5"/>
      <c r="AF92" s="5"/>
    </row>
    <row r="93" spans="1:32" x14ac:dyDescent="0.35">
      <c r="A93" s="5"/>
      <c r="B93" s="13">
        <v>2031</v>
      </c>
      <c r="C93" s="5" t="s">
        <v>312</v>
      </c>
      <c r="D93" s="5" t="s">
        <v>311</v>
      </c>
      <c r="E93" s="16">
        <v>0.39</v>
      </c>
      <c r="F93" s="16">
        <v>0.314</v>
      </c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1"/>
      <c r="AE93" s="5"/>
      <c r="AF93" s="5"/>
    </row>
    <row r="94" spans="1:32" x14ac:dyDescent="0.35">
      <c r="A94" s="5"/>
      <c r="B94" s="13">
        <v>2032</v>
      </c>
      <c r="C94" s="5" t="s">
        <v>312</v>
      </c>
      <c r="D94" s="5" t="s">
        <v>311</v>
      </c>
      <c r="E94" s="16">
        <v>0.26500000000000001</v>
      </c>
      <c r="F94" s="16">
        <v>0.214</v>
      </c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1"/>
      <c r="AE94" s="5"/>
      <c r="AF94" s="5"/>
    </row>
    <row r="95" spans="1:32" x14ac:dyDescent="0.35">
      <c r="A95" s="5"/>
      <c r="B95" s="13">
        <v>2033</v>
      </c>
      <c r="C95" s="5" t="s">
        <v>312</v>
      </c>
      <c r="D95" s="5" t="s">
        <v>311</v>
      </c>
      <c r="E95" s="16">
        <v>0.14000000000000001</v>
      </c>
      <c r="F95" s="16">
        <v>0.109</v>
      </c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1"/>
      <c r="AE95" s="5"/>
      <c r="AF95" s="5"/>
    </row>
    <row r="96" spans="1:32" x14ac:dyDescent="0.35">
      <c r="A96" s="5"/>
      <c r="B96" s="13">
        <v>2034</v>
      </c>
      <c r="C96" s="5" t="s">
        <v>312</v>
      </c>
      <c r="D96" s="5" t="s">
        <v>311</v>
      </c>
      <c r="E96" s="16">
        <v>0</v>
      </c>
      <c r="F96" s="16">
        <v>0</v>
      </c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1"/>
      <c r="AE96" s="5"/>
      <c r="AF96" s="5"/>
    </row>
    <row r="97" spans="1:32" x14ac:dyDescent="0.35">
      <c r="A97" s="5"/>
      <c r="B97" s="13">
        <v>2035</v>
      </c>
      <c r="C97" s="5">
        <v>167.5</v>
      </c>
      <c r="D97" s="5" t="s">
        <v>311</v>
      </c>
      <c r="E97" s="16">
        <v>0</v>
      </c>
      <c r="F97" s="16">
        <v>0</v>
      </c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1"/>
      <c r="AE97" s="5"/>
      <c r="AF97" s="5"/>
    </row>
    <row r="98" spans="1:32" x14ac:dyDescent="0.35">
      <c r="A98" s="5"/>
      <c r="B98" s="13">
        <v>2036</v>
      </c>
      <c r="C98" s="5" t="s">
        <v>312</v>
      </c>
      <c r="D98" s="5" t="s">
        <v>311</v>
      </c>
      <c r="E98" s="16">
        <v>0</v>
      </c>
      <c r="F98" s="16">
        <v>0</v>
      </c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1"/>
      <c r="AE98" s="5"/>
      <c r="AF98" s="5"/>
    </row>
    <row r="99" spans="1:32" x14ac:dyDescent="0.35">
      <c r="A99" s="5"/>
      <c r="B99" s="13">
        <v>2037</v>
      </c>
      <c r="C99" s="5" t="s">
        <v>312</v>
      </c>
      <c r="D99" s="5" t="s">
        <v>311</v>
      </c>
      <c r="E99" s="16">
        <v>0</v>
      </c>
      <c r="F99" s="16">
        <v>0</v>
      </c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1"/>
      <c r="AE99" s="5"/>
      <c r="AF99" s="5"/>
    </row>
    <row r="100" spans="1:32" x14ac:dyDescent="0.35">
      <c r="A100" s="5"/>
      <c r="B100" s="13">
        <v>2038</v>
      </c>
      <c r="C100" s="5" t="s">
        <v>312</v>
      </c>
      <c r="D100" s="5" t="s">
        <v>311</v>
      </c>
      <c r="E100" s="16">
        <v>0</v>
      </c>
      <c r="F100" s="16">
        <v>0</v>
      </c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1"/>
      <c r="AE100" s="5"/>
      <c r="AF100" s="5"/>
    </row>
    <row r="101" spans="1:32" x14ac:dyDescent="0.35">
      <c r="A101" s="5"/>
      <c r="B101" s="13">
        <v>2039</v>
      </c>
      <c r="C101" s="5" t="s">
        <v>312</v>
      </c>
      <c r="D101" s="5" t="s">
        <v>311</v>
      </c>
      <c r="E101" s="16">
        <v>0</v>
      </c>
      <c r="F101" s="16">
        <v>0</v>
      </c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1"/>
      <c r="AE101" s="5"/>
      <c r="AF101" s="5"/>
    </row>
    <row r="102" spans="1:32" x14ac:dyDescent="0.35">
      <c r="A102" s="5"/>
      <c r="B102" s="13">
        <v>2040</v>
      </c>
      <c r="C102" s="5">
        <v>201</v>
      </c>
      <c r="D102" s="5" t="s">
        <v>311</v>
      </c>
      <c r="E102" s="16">
        <v>0</v>
      </c>
      <c r="F102" s="16">
        <v>0</v>
      </c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1"/>
      <c r="AE102" s="5"/>
      <c r="AF102" s="5"/>
    </row>
    <row r="103" spans="1:32" x14ac:dyDescent="0.35">
      <c r="A103" s="5"/>
      <c r="B103" s="13">
        <v>2041</v>
      </c>
      <c r="C103" s="5" t="s">
        <v>312</v>
      </c>
      <c r="D103" s="5" t="s">
        <v>311</v>
      </c>
      <c r="E103" s="16">
        <v>0</v>
      </c>
      <c r="F103" s="16">
        <v>0</v>
      </c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1"/>
      <c r="AE103" s="5"/>
      <c r="AF103" s="5"/>
    </row>
    <row r="104" spans="1:32" x14ac:dyDescent="0.35">
      <c r="A104" s="5"/>
      <c r="B104" s="13">
        <v>2042</v>
      </c>
      <c r="C104" s="5" t="s">
        <v>312</v>
      </c>
      <c r="D104" s="5" t="s">
        <v>311</v>
      </c>
      <c r="E104" s="16">
        <v>0</v>
      </c>
      <c r="F104" s="16">
        <v>0</v>
      </c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1"/>
      <c r="AE104" s="5"/>
      <c r="AF104" s="5"/>
    </row>
    <row r="105" spans="1:32" x14ac:dyDescent="0.35">
      <c r="A105" s="5"/>
      <c r="B105" s="13">
        <v>2043</v>
      </c>
      <c r="C105" s="5" t="s">
        <v>312</v>
      </c>
      <c r="D105" s="5" t="s">
        <v>311</v>
      </c>
      <c r="E105" s="16">
        <v>0</v>
      </c>
      <c r="F105" s="16">
        <v>0</v>
      </c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1"/>
      <c r="AE105" s="5"/>
      <c r="AF105" s="5"/>
    </row>
    <row r="106" spans="1:32" x14ac:dyDescent="0.35">
      <c r="A106" s="5"/>
      <c r="B106" s="13">
        <v>2044</v>
      </c>
      <c r="C106" s="5" t="s">
        <v>312</v>
      </c>
      <c r="D106" s="5" t="s">
        <v>311</v>
      </c>
      <c r="E106" s="16">
        <v>0</v>
      </c>
      <c r="F106" s="16">
        <v>0</v>
      </c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1"/>
      <c r="AE106" s="5"/>
      <c r="AF106" s="5"/>
    </row>
    <row r="107" spans="1:32" x14ac:dyDescent="0.35">
      <c r="A107" s="5"/>
      <c r="B107" s="13">
        <v>2045</v>
      </c>
      <c r="C107" s="5">
        <v>435.5</v>
      </c>
      <c r="D107" s="5" t="s">
        <v>311</v>
      </c>
      <c r="E107" s="16">
        <v>0</v>
      </c>
      <c r="F107" s="16">
        <v>0</v>
      </c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1"/>
      <c r="AE107" s="5"/>
      <c r="AF107" s="5"/>
    </row>
    <row r="108" spans="1:32" x14ac:dyDescent="0.35">
      <c r="A108" s="5"/>
      <c r="B108" s="13">
        <v>2046</v>
      </c>
      <c r="C108" s="5" t="s">
        <v>312</v>
      </c>
      <c r="D108" s="5" t="s">
        <v>311</v>
      </c>
      <c r="E108" s="16">
        <v>0</v>
      </c>
      <c r="F108" s="16">
        <v>0</v>
      </c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1"/>
      <c r="AE108" s="5"/>
      <c r="AF108" s="5"/>
    </row>
    <row r="109" spans="1:32" x14ac:dyDescent="0.35">
      <c r="A109" s="5"/>
      <c r="B109" s="13">
        <v>2047</v>
      </c>
      <c r="C109" s="5" t="s">
        <v>312</v>
      </c>
      <c r="D109" s="5" t="s">
        <v>311</v>
      </c>
      <c r="E109" s="16">
        <v>0</v>
      </c>
      <c r="F109" s="16">
        <v>0</v>
      </c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1"/>
      <c r="AE109" s="5"/>
      <c r="AF109" s="5"/>
    </row>
    <row r="110" spans="1:32" x14ac:dyDescent="0.35">
      <c r="A110" s="5"/>
      <c r="B110" s="13">
        <v>2048</v>
      </c>
      <c r="C110" s="5" t="s">
        <v>312</v>
      </c>
      <c r="D110" s="5" t="s">
        <v>311</v>
      </c>
      <c r="E110" s="16">
        <v>0</v>
      </c>
      <c r="F110" s="16">
        <v>0</v>
      </c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1"/>
      <c r="AE110" s="5"/>
      <c r="AF110" s="5"/>
    </row>
    <row r="111" spans="1:32" x14ac:dyDescent="0.35">
      <c r="A111" s="5"/>
      <c r="B111" s="13">
        <v>2049</v>
      </c>
      <c r="C111" s="5" t="s">
        <v>312</v>
      </c>
      <c r="D111" s="5" t="s">
        <v>311</v>
      </c>
      <c r="E111" s="16">
        <v>0</v>
      </c>
      <c r="F111" s="16">
        <v>0</v>
      </c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1"/>
      <c r="AE111" s="5"/>
      <c r="AF111" s="5"/>
    </row>
    <row r="112" spans="1:32" x14ac:dyDescent="0.35">
      <c r="A112" s="5"/>
      <c r="B112" s="13">
        <v>2050</v>
      </c>
      <c r="C112" s="5">
        <v>513.66999999999996</v>
      </c>
      <c r="D112" s="5" t="s">
        <v>311</v>
      </c>
      <c r="E112" s="16">
        <v>0</v>
      </c>
      <c r="F112" s="16">
        <v>0</v>
      </c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1"/>
      <c r="AE112" s="5"/>
      <c r="AF112" s="5"/>
    </row>
    <row r="113" spans="1:32" x14ac:dyDescent="0.35">
      <c r="A113" s="14" t="s">
        <v>299</v>
      </c>
      <c r="B113" s="14" t="s">
        <v>11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x14ac:dyDescent="0.3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2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2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2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1:32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1:32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1:32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2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1:32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1:32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1:32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1:32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1:32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 x14ac:dyDescent="0.3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2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2" x14ac:dyDescent="0.3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2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 x14ac:dyDescent="0.3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2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 x14ac:dyDescent="0.3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 x14ac:dyDescent="0.3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2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 x14ac:dyDescent="0.3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2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 x14ac:dyDescent="0.3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2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2" x14ac:dyDescent="0.3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2" x14ac:dyDescent="0.3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2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2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2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1:32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1:32" x14ac:dyDescent="0.3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1:32" x14ac:dyDescent="0.3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2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 x14ac:dyDescent="0.3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 x14ac:dyDescent="0.3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 x14ac:dyDescent="0.3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 x14ac:dyDescent="0.3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2" x14ac:dyDescent="0.3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 x14ac:dyDescent="0.3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 x14ac:dyDescent="0.3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 x14ac:dyDescent="0.3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2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1:32" x14ac:dyDescent="0.3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 x14ac:dyDescent="0.3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 x14ac:dyDescent="0.3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1:32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 x14ac:dyDescent="0.3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 x14ac:dyDescent="0.3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 x14ac:dyDescent="0.3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 x14ac:dyDescent="0.3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2" x14ac:dyDescent="0.3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 x14ac:dyDescent="0.3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 x14ac:dyDescent="0.3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 x14ac:dyDescent="0.3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 x14ac:dyDescent="0.3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2" x14ac:dyDescent="0.3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 x14ac:dyDescent="0.3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 x14ac:dyDescent="0.3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 x14ac:dyDescent="0.3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 x14ac:dyDescent="0.3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 x14ac:dyDescent="0.3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1:32" x14ac:dyDescent="0.3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 x14ac:dyDescent="0.3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 x14ac:dyDescent="0.3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 x14ac:dyDescent="0.3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 x14ac:dyDescent="0.3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 x14ac:dyDescent="0.3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1:32" x14ac:dyDescent="0.3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 x14ac:dyDescent="0.3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 x14ac:dyDescent="0.3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 x14ac:dyDescent="0.3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1:32" x14ac:dyDescent="0.3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 x14ac:dyDescent="0.3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 x14ac:dyDescent="0.3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 x14ac:dyDescent="0.3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 x14ac:dyDescent="0.3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 x14ac:dyDescent="0.3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 x14ac:dyDescent="0.3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 x14ac:dyDescent="0.3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 x14ac:dyDescent="0.3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1:32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1:32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1:32" x14ac:dyDescent="0.3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2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2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 x14ac:dyDescent="0.3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1:32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1:32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1:32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 x14ac:dyDescent="0.3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 x14ac:dyDescent="0.3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 x14ac:dyDescent="0.3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 x14ac:dyDescent="0.3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1:32" x14ac:dyDescent="0.3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1:32" x14ac:dyDescent="0.3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 x14ac:dyDescent="0.3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 x14ac:dyDescent="0.3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 x14ac:dyDescent="0.3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 x14ac:dyDescent="0.3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 x14ac:dyDescent="0.3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1:32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 x14ac:dyDescent="0.3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2" x14ac:dyDescent="0.3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 x14ac:dyDescent="0.3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1:32" x14ac:dyDescent="0.3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 x14ac:dyDescent="0.3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 x14ac:dyDescent="0.3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 x14ac:dyDescent="0.3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 x14ac:dyDescent="0.3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 x14ac:dyDescent="0.3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 x14ac:dyDescent="0.3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 x14ac:dyDescent="0.3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 x14ac:dyDescent="0.3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 x14ac:dyDescent="0.3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 x14ac:dyDescent="0.3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 x14ac:dyDescent="0.3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1:32" x14ac:dyDescent="0.3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 x14ac:dyDescent="0.3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1:32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 x14ac:dyDescent="0.3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 x14ac:dyDescent="0.3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 x14ac:dyDescent="0.3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 x14ac:dyDescent="0.3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 x14ac:dyDescent="0.3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 x14ac:dyDescent="0.3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 x14ac:dyDescent="0.3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 x14ac:dyDescent="0.3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 x14ac:dyDescent="0.3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 x14ac:dyDescent="0.3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1:32" x14ac:dyDescent="0.3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 x14ac:dyDescent="0.3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 x14ac:dyDescent="0.3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 x14ac:dyDescent="0.3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 x14ac:dyDescent="0.3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1:32" x14ac:dyDescent="0.3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 x14ac:dyDescent="0.3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1:32" x14ac:dyDescent="0.3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 x14ac:dyDescent="0.3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 x14ac:dyDescent="0.3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1:32" x14ac:dyDescent="0.3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 x14ac:dyDescent="0.3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1:32" x14ac:dyDescent="0.3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 x14ac:dyDescent="0.3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 x14ac:dyDescent="0.3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 x14ac:dyDescent="0.3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 x14ac:dyDescent="0.3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 x14ac:dyDescent="0.3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2" x14ac:dyDescent="0.3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 x14ac:dyDescent="0.3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2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1:32" x14ac:dyDescent="0.3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 x14ac:dyDescent="0.3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 x14ac:dyDescent="0.3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 x14ac:dyDescent="0.3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 x14ac:dyDescent="0.3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 x14ac:dyDescent="0.3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 x14ac:dyDescent="0.3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 x14ac:dyDescent="0.3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 x14ac:dyDescent="0.3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1:32" x14ac:dyDescent="0.3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 x14ac:dyDescent="0.3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1:32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1:32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2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2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1:32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1:32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 x14ac:dyDescent="0.3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 x14ac:dyDescent="0.3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2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 x14ac:dyDescent="0.3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 x14ac:dyDescent="0.3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1:32" x14ac:dyDescent="0.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1:32" x14ac:dyDescent="0.3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 x14ac:dyDescent="0.3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2" x14ac:dyDescent="0.3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2" x14ac:dyDescent="0.3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 x14ac:dyDescent="0.3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 x14ac:dyDescent="0.3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2" x14ac:dyDescent="0.3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1:32" x14ac:dyDescent="0.3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 x14ac:dyDescent="0.3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 x14ac:dyDescent="0.3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 x14ac:dyDescent="0.3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 x14ac:dyDescent="0.3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1:32" x14ac:dyDescent="0.3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 x14ac:dyDescent="0.3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 x14ac:dyDescent="0.3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2" x14ac:dyDescent="0.3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 x14ac:dyDescent="0.3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 x14ac:dyDescent="0.3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1:32" x14ac:dyDescent="0.3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 x14ac:dyDescent="0.3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 x14ac:dyDescent="0.3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 x14ac:dyDescent="0.3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1:32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1:32" x14ac:dyDescent="0.3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 x14ac:dyDescent="0.3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1:32" x14ac:dyDescent="0.3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 x14ac:dyDescent="0.3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 x14ac:dyDescent="0.3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2" x14ac:dyDescent="0.3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1:32" x14ac:dyDescent="0.3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 x14ac:dyDescent="0.3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1:32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 x14ac:dyDescent="0.3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 x14ac:dyDescent="0.3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 x14ac:dyDescent="0.3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 x14ac:dyDescent="0.3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2" x14ac:dyDescent="0.3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2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 x14ac:dyDescent="0.3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1:32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 x14ac:dyDescent="0.3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 x14ac:dyDescent="0.3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 x14ac:dyDescent="0.3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 x14ac:dyDescent="0.3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1:32" x14ac:dyDescent="0.3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2" x14ac:dyDescent="0.3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 x14ac:dyDescent="0.3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 x14ac:dyDescent="0.3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2" x14ac:dyDescent="0.3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 x14ac:dyDescent="0.3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 x14ac:dyDescent="0.3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2" x14ac:dyDescent="0.3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 x14ac:dyDescent="0.3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1:32" x14ac:dyDescent="0.3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 x14ac:dyDescent="0.3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 x14ac:dyDescent="0.3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1:32" x14ac:dyDescent="0.3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1:32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2" x14ac:dyDescent="0.3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 x14ac:dyDescent="0.3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 x14ac:dyDescent="0.3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 x14ac:dyDescent="0.3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 x14ac:dyDescent="0.3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1:32" x14ac:dyDescent="0.3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 x14ac:dyDescent="0.3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 x14ac:dyDescent="0.3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1:32" x14ac:dyDescent="0.3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2" x14ac:dyDescent="0.3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 x14ac:dyDescent="0.3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2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 x14ac:dyDescent="0.3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1:32" x14ac:dyDescent="0.3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 x14ac:dyDescent="0.3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 x14ac:dyDescent="0.3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 x14ac:dyDescent="0.3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 x14ac:dyDescent="0.3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 x14ac:dyDescent="0.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 x14ac:dyDescent="0.3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 x14ac:dyDescent="0.3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 x14ac:dyDescent="0.3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 x14ac:dyDescent="0.3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 x14ac:dyDescent="0.3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 x14ac:dyDescent="0.3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 x14ac:dyDescent="0.3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 x14ac:dyDescent="0.3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 x14ac:dyDescent="0.3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 x14ac:dyDescent="0.3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 x14ac:dyDescent="0.3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1:32" x14ac:dyDescent="0.3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 x14ac:dyDescent="0.3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1:32" x14ac:dyDescent="0.3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 x14ac:dyDescent="0.3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2" x14ac:dyDescent="0.3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 x14ac:dyDescent="0.3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1:32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1:32" x14ac:dyDescent="0.3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 x14ac:dyDescent="0.3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 x14ac:dyDescent="0.3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 x14ac:dyDescent="0.3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 x14ac:dyDescent="0.3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 x14ac:dyDescent="0.3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2" x14ac:dyDescent="0.3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1:32" x14ac:dyDescent="0.3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 x14ac:dyDescent="0.3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 x14ac:dyDescent="0.3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 x14ac:dyDescent="0.3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1:32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 x14ac:dyDescent="0.3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 x14ac:dyDescent="0.3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2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 x14ac:dyDescent="0.3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2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1:32" x14ac:dyDescent="0.3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 x14ac:dyDescent="0.3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 x14ac:dyDescent="0.3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1:32" x14ac:dyDescent="0.3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2" x14ac:dyDescent="0.3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 x14ac:dyDescent="0.3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 x14ac:dyDescent="0.3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 x14ac:dyDescent="0.3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 x14ac:dyDescent="0.3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 x14ac:dyDescent="0.3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 x14ac:dyDescent="0.3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 x14ac:dyDescent="0.3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 x14ac:dyDescent="0.3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 x14ac:dyDescent="0.3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 x14ac:dyDescent="0.3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 x14ac:dyDescent="0.3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 x14ac:dyDescent="0.3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 x14ac:dyDescent="0.3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 x14ac:dyDescent="0.3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1:32" x14ac:dyDescent="0.3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 x14ac:dyDescent="0.3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 x14ac:dyDescent="0.3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2" x14ac:dyDescent="0.3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 x14ac:dyDescent="0.3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 x14ac:dyDescent="0.3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 x14ac:dyDescent="0.3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 x14ac:dyDescent="0.3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 x14ac:dyDescent="0.3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 x14ac:dyDescent="0.3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 x14ac:dyDescent="0.3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 x14ac:dyDescent="0.3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2" x14ac:dyDescent="0.3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 x14ac:dyDescent="0.3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2" x14ac:dyDescent="0.3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 x14ac:dyDescent="0.3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2" x14ac:dyDescent="0.3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 x14ac:dyDescent="0.3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 x14ac:dyDescent="0.3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2" x14ac:dyDescent="0.3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 x14ac:dyDescent="0.3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 x14ac:dyDescent="0.3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2" x14ac:dyDescent="0.3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 x14ac:dyDescent="0.3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 x14ac:dyDescent="0.3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 x14ac:dyDescent="0.3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 x14ac:dyDescent="0.3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 x14ac:dyDescent="0.3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2" x14ac:dyDescent="0.3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 x14ac:dyDescent="0.3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2" x14ac:dyDescent="0.3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 x14ac:dyDescent="0.3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 x14ac:dyDescent="0.3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 x14ac:dyDescent="0.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 x14ac:dyDescent="0.3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1:32" x14ac:dyDescent="0.3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1:32" x14ac:dyDescent="0.3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1:32" x14ac:dyDescent="0.3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 x14ac:dyDescent="0.3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2" x14ac:dyDescent="0.3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 x14ac:dyDescent="0.3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 x14ac:dyDescent="0.3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 x14ac:dyDescent="0.3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 x14ac:dyDescent="0.3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 x14ac:dyDescent="0.3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 x14ac:dyDescent="0.3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 x14ac:dyDescent="0.3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 x14ac:dyDescent="0.3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 x14ac:dyDescent="0.3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 x14ac:dyDescent="0.3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 x14ac:dyDescent="0.3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 x14ac:dyDescent="0.3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 x14ac:dyDescent="0.3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 x14ac:dyDescent="0.3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1:32" x14ac:dyDescent="0.3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 x14ac:dyDescent="0.3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 x14ac:dyDescent="0.3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1:32" x14ac:dyDescent="0.3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 x14ac:dyDescent="0.3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 x14ac:dyDescent="0.3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1:32" x14ac:dyDescent="0.3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 x14ac:dyDescent="0.3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 x14ac:dyDescent="0.3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 x14ac:dyDescent="0.3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2" x14ac:dyDescent="0.3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 x14ac:dyDescent="0.3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 x14ac:dyDescent="0.3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 x14ac:dyDescent="0.3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 x14ac:dyDescent="0.3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 x14ac:dyDescent="0.3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 x14ac:dyDescent="0.3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 x14ac:dyDescent="0.3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 x14ac:dyDescent="0.3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 x14ac:dyDescent="0.3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 x14ac:dyDescent="0.3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 x14ac:dyDescent="0.3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 x14ac:dyDescent="0.3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 x14ac:dyDescent="0.3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 x14ac:dyDescent="0.3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 x14ac:dyDescent="0.3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 x14ac:dyDescent="0.3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 x14ac:dyDescent="0.3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 x14ac:dyDescent="0.3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 x14ac:dyDescent="0.3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 x14ac:dyDescent="0.3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 x14ac:dyDescent="0.3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 x14ac:dyDescent="0.3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 x14ac:dyDescent="0.3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 x14ac:dyDescent="0.3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 x14ac:dyDescent="0.3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 x14ac:dyDescent="0.3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 x14ac:dyDescent="0.3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 x14ac:dyDescent="0.3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 x14ac:dyDescent="0.3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 x14ac:dyDescent="0.3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 x14ac:dyDescent="0.3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 x14ac:dyDescent="0.3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 x14ac:dyDescent="0.3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 x14ac:dyDescent="0.3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 x14ac:dyDescent="0.3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 x14ac:dyDescent="0.3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 x14ac:dyDescent="0.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 x14ac:dyDescent="0.3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 x14ac:dyDescent="0.3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 x14ac:dyDescent="0.3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 x14ac:dyDescent="0.3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 x14ac:dyDescent="0.3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 x14ac:dyDescent="0.3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 x14ac:dyDescent="0.3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 x14ac:dyDescent="0.3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 x14ac:dyDescent="0.3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 x14ac:dyDescent="0.3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 x14ac:dyDescent="0.3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spans="1:32" x14ac:dyDescent="0.3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 x14ac:dyDescent="0.3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spans="1:32" x14ac:dyDescent="0.3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 x14ac:dyDescent="0.3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spans="1:32" x14ac:dyDescent="0.3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2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 x14ac:dyDescent="0.3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 x14ac:dyDescent="0.3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spans="1:32" x14ac:dyDescent="0.3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 x14ac:dyDescent="0.3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spans="1:32" x14ac:dyDescent="0.3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 x14ac:dyDescent="0.3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spans="1:32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 x14ac:dyDescent="0.3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 x14ac:dyDescent="0.3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 x14ac:dyDescent="0.3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 x14ac:dyDescent="0.3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2" x14ac:dyDescent="0.3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 x14ac:dyDescent="0.3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 x14ac:dyDescent="0.3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2" x14ac:dyDescent="0.3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 x14ac:dyDescent="0.3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 x14ac:dyDescent="0.3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2" x14ac:dyDescent="0.3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 x14ac:dyDescent="0.3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 x14ac:dyDescent="0.3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 x14ac:dyDescent="0.3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 x14ac:dyDescent="0.3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spans="1:32" x14ac:dyDescent="0.3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 x14ac:dyDescent="0.3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spans="1:32" x14ac:dyDescent="0.3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 x14ac:dyDescent="0.3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 x14ac:dyDescent="0.3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 x14ac:dyDescent="0.3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 x14ac:dyDescent="0.3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 x14ac:dyDescent="0.3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 x14ac:dyDescent="0.3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2" x14ac:dyDescent="0.3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 x14ac:dyDescent="0.3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spans="1:32" x14ac:dyDescent="0.3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 x14ac:dyDescent="0.3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 x14ac:dyDescent="0.3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spans="1:32" x14ac:dyDescent="0.3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spans="1:32" x14ac:dyDescent="0.3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spans="1:32" x14ac:dyDescent="0.3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spans="1:32" x14ac:dyDescent="0.3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spans="1:32" x14ac:dyDescent="0.3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spans="1:32" x14ac:dyDescent="0.3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spans="1:32" x14ac:dyDescent="0.3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spans="1:32" x14ac:dyDescent="0.3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spans="1:32" x14ac:dyDescent="0.3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spans="1:32" x14ac:dyDescent="0.3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spans="1:32" x14ac:dyDescent="0.3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spans="1:32" x14ac:dyDescent="0.3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spans="1:32" x14ac:dyDescent="0.3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spans="1:32" x14ac:dyDescent="0.3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spans="1:32" x14ac:dyDescent="0.3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spans="1:32" x14ac:dyDescent="0.3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spans="1:32" x14ac:dyDescent="0.3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spans="1:32" x14ac:dyDescent="0.3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spans="1:32" x14ac:dyDescent="0.3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spans="1:32" x14ac:dyDescent="0.3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spans="1:32" x14ac:dyDescent="0.3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spans="1:32" x14ac:dyDescent="0.3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spans="1:32" x14ac:dyDescent="0.3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spans="1:32" x14ac:dyDescent="0.3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spans="1:32" x14ac:dyDescent="0.3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spans="1:32" x14ac:dyDescent="0.3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spans="1:32" x14ac:dyDescent="0.3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spans="1:32" x14ac:dyDescent="0.3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spans="1:32" x14ac:dyDescent="0.3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spans="1:32" x14ac:dyDescent="0.3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spans="1:32" x14ac:dyDescent="0.3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spans="1:32" x14ac:dyDescent="0.3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spans="1:32" x14ac:dyDescent="0.3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spans="1:32" x14ac:dyDescent="0.3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spans="1:32" x14ac:dyDescent="0.3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66"/>
    <outlinePr summaryBelow="0" summaryRight="0"/>
  </sheetPr>
  <dimension ref="A2:Z106"/>
  <sheetViews>
    <sheetView tabSelected="1" topLeftCell="A2" workbookViewId="0">
      <selection activeCell="J15" sqref="J15"/>
    </sheetView>
  </sheetViews>
  <sheetFormatPr defaultColWidth="12.59765625" defaultRowHeight="15.75" customHeight="1" x14ac:dyDescent="0.35"/>
  <cols>
    <col min="6" max="6" width="16.265625" bestFit="1" customWidth="1"/>
  </cols>
  <sheetData>
    <row r="2" spans="1:26" ht="12.75" customHeight="1" x14ac:dyDescent="0.35">
      <c r="A2" s="2" t="s">
        <v>0</v>
      </c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5">
      <c r="A3" s="1"/>
      <c r="B3" s="1" t="s">
        <v>120</v>
      </c>
      <c r="C3" s="1" t="s">
        <v>313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5">
      <c r="A4" s="1"/>
      <c r="B4" s="1" t="s">
        <v>16</v>
      </c>
      <c r="C4" s="1" t="s">
        <v>31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5">
      <c r="A5" s="1"/>
      <c r="B5" s="1" t="s">
        <v>288</v>
      </c>
      <c r="C5" s="1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5">
      <c r="A6" s="1"/>
      <c r="B6" s="1" t="s">
        <v>314</v>
      </c>
      <c r="C6" s="1" t="s">
        <v>33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5">
      <c r="A7" s="1"/>
      <c r="B7" s="1" t="s">
        <v>291</v>
      </c>
      <c r="C7" s="1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5">
      <c r="A8" s="4" t="s">
        <v>0</v>
      </c>
      <c r="B8" s="4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11" spans="1:26" ht="12.75" customHeight="1" x14ac:dyDescent="0.35">
      <c r="A11" s="2" t="s">
        <v>292</v>
      </c>
      <c r="B11" s="2" t="s">
        <v>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5">
      <c r="A12" s="1" t="s">
        <v>3</v>
      </c>
      <c r="B12" s="1" t="s">
        <v>78</v>
      </c>
      <c r="C12" s="1" t="s">
        <v>165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5">
      <c r="A13" s="1"/>
      <c r="B13" s="1" t="s">
        <v>78</v>
      </c>
      <c r="C13" s="1" t="s">
        <v>84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5">
      <c r="A14" s="1" t="s">
        <v>3</v>
      </c>
      <c r="B14" s="1" t="s">
        <v>150</v>
      </c>
      <c r="C14" s="1" t="s">
        <v>293</v>
      </c>
      <c r="D14" s="1" t="s">
        <v>315</v>
      </c>
      <c r="E14" s="3" t="s">
        <v>295</v>
      </c>
      <c r="F14" s="1" t="s">
        <v>212</v>
      </c>
      <c r="G14" s="1" t="s">
        <v>212</v>
      </c>
      <c r="I14" s="1" t="s">
        <v>296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5">
      <c r="A15" s="1"/>
      <c r="B15" s="1">
        <v>2025</v>
      </c>
      <c r="C15" s="1" t="s">
        <v>35</v>
      </c>
      <c r="D15" s="3">
        <v>1.9599999999999999E-2</v>
      </c>
      <c r="E15" s="1" t="s">
        <v>38</v>
      </c>
      <c r="F15" s="1" t="s">
        <v>52</v>
      </c>
      <c r="G15" s="3">
        <v>0</v>
      </c>
      <c r="H15" s="1" t="s">
        <v>53</v>
      </c>
      <c r="I15" s="1" t="s">
        <v>57</v>
      </c>
      <c r="J15" s="3">
        <f>D15/0.5/3.6</f>
        <v>1.0888888888888889E-2</v>
      </c>
      <c r="K15" s="1" t="s">
        <v>53</v>
      </c>
      <c r="L15" s="1" t="s">
        <v>59</v>
      </c>
      <c r="M15" s="3">
        <f>REFINERY!D25/REFINERY!D34/1000/0.8</f>
        <v>7.0758928571428556E-2</v>
      </c>
      <c r="N15" s="1" t="s">
        <v>53</v>
      </c>
      <c r="O15" s="1" t="s">
        <v>61</v>
      </c>
      <c r="P15" s="3">
        <f>M15*(1-0.8)</f>
        <v>1.4151785714285709E-2</v>
      </c>
      <c r="Q15" s="1" t="s">
        <v>53</v>
      </c>
      <c r="R15" s="1">
        <f>IFERROR(D15/1000,D15)</f>
        <v>1.9599999999999999E-5</v>
      </c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5">
      <c r="A16" s="1"/>
      <c r="B16" s="1">
        <v>2026</v>
      </c>
      <c r="C16" s="1" t="s">
        <v>35</v>
      </c>
      <c r="D16" s="1" t="s">
        <v>297</v>
      </c>
      <c r="E16" s="1" t="s">
        <v>38</v>
      </c>
      <c r="F16" s="1" t="s">
        <v>52</v>
      </c>
      <c r="G16" s="1" t="s">
        <v>297</v>
      </c>
      <c r="H16" s="1" t="s">
        <v>53</v>
      </c>
      <c r="I16" s="1" t="s">
        <v>57</v>
      </c>
      <c r="J16" s="1" t="s">
        <v>297</v>
      </c>
      <c r="K16" s="1" t="s">
        <v>53</v>
      </c>
      <c r="L16" s="1" t="s">
        <v>59</v>
      </c>
      <c r="M16" s="1" t="s">
        <v>297</v>
      </c>
      <c r="N16" s="1" t="s">
        <v>53</v>
      </c>
      <c r="O16" s="1" t="s">
        <v>61</v>
      </c>
      <c r="P16" s="1" t="s">
        <v>297</v>
      </c>
      <c r="Q16" s="1" t="s">
        <v>53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5">
      <c r="A17" s="1"/>
      <c r="B17" s="1">
        <v>2027</v>
      </c>
      <c r="C17" s="1" t="s">
        <v>35</v>
      </c>
      <c r="D17" s="1" t="s">
        <v>297</v>
      </c>
      <c r="E17" s="1" t="s">
        <v>38</v>
      </c>
      <c r="F17" s="1" t="s">
        <v>52</v>
      </c>
      <c r="G17" s="1" t="s">
        <v>297</v>
      </c>
      <c r="H17" s="1" t="s">
        <v>53</v>
      </c>
      <c r="I17" s="1" t="s">
        <v>57</v>
      </c>
      <c r="J17" s="1" t="s">
        <v>297</v>
      </c>
      <c r="K17" s="1" t="s">
        <v>53</v>
      </c>
      <c r="L17" s="1" t="s">
        <v>59</v>
      </c>
      <c r="M17" s="1" t="s">
        <v>297</v>
      </c>
      <c r="N17" s="1" t="s">
        <v>53</v>
      </c>
      <c r="O17" s="1" t="s">
        <v>61</v>
      </c>
      <c r="P17" s="1" t="s">
        <v>297</v>
      </c>
      <c r="Q17" s="1" t="s">
        <v>53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5">
      <c r="A18" s="1"/>
      <c r="B18" s="1">
        <v>2028</v>
      </c>
      <c r="C18" s="1" t="s">
        <v>35</v>
      </c>
      <c r="D18" s="1" t="s">
        <v>297</v>
      </c>
      <c r="E18" s="1" t="s">
        <v>38</v>
      </c>
      <c r="F18" s="1" t="s">
        <v>52</v>
      </c>
      <c r="G18" s="1" t="s">
        <v>297</v>
      </c>
      <c r="H18" s="1" t="s">
        <v>53</v>
      </c>
      <c r="I18" s="1" t="s">
        <v>57</v>
      </c>
      <c r="J18" s="1" t="s">
        <v>297</v>
      </c>
      <c r="K18" s="1" t="s">
        <v>53</v>
      </c>
      <c r="L18" s="1" t="s">
        <v>59</v>
      </c>
      <c r="M18" s="1" t="s">
        <v>297</v>
      </c>
      <c r="N18" s="1" t="s">
        <v>53</v>
      </c>
      <c r="O18" s="1" t="s">
        <v>61</v>
      </c>
      <c r="P18" s="1" t="s">
        <v>297</v>
      </c>
      <c r="Q18" s="1" t="s">
        <v>53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5">
      <c r="A19" s="1"/>
      <c r="B19" s="1">
        <v>2029</v>
      </c>
      <c r="C19" s="1" t="s">
        <v>35</v>
      </c>
      <c r="D19" s="1" t="s">
        <v>297</v>
      </c>
      <c r="E19" s="1" t="s">
        <v>38</v>
      </c>
      <c r="F19" s="1" t="s">
        <v>52</v>
      </c>
      <c r="G19" s="1" t="s">
        <v>297</v>
      </c>
      <c r="H19" s="1" t="s">
        <v>53</v>
      </c>
      <c r="I19" s="1" t="s">
        <v>57</v>
      </c>
      <c r="J19" s="1" t="s">
        <v>297</v>
      </c>
      <c r="K19" s="1" t="s">
        <v>53</v>
      </c>
      <c r="L19" s="1" t="s">
        <v>59</v>
      </c>
      <c r="M19" s="1" t="s">
        <v>297</v>
      </c>
      <c r="N19" s="1" t="s">
        <v>53</v>
      </c>
      <c r="O19" s="1" t="s">
        <v>61</v>
      </c>
      <c r="P19" s="1" t="s">
        <v>297</v>
      </c>
      <c r="Q19" s="1" t="s">
        <v>53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5">
      <c r="A20" s="1"/>
      <c r="B20" s="1">
        <v>2030</v>
      </c>
      <c r="C20" s="1" t="s">
        <v>35</v>
      </c>
      <c r="D20" s="3">
        <v>2.4199999999999999E-2</v>
      </c>
      <c r="E20" s="1" t="s">
        <v>38</v>
      </c>
      <c r="F20" s="1" t="s">
        <v>52</v>
      </c>
      <c r="G20" s="3">
        <v>0</v>
      </c>
      <c r="H20" s="1" t="s">
        <v>53</v>
      </c>
      <c r="I20" s="1" t="s">
        <v>57</v>
      </c>
      <c r="J20" s="3">
        <f>D20/0.5/3.6</f>
        <v>1.3444444444444443E-2</v>
      </c>
      <c r="K20" s="1" t="s">
        <v>53</v>
      </c>
      <c r="L20" s="1" t="s">
        <v>59</v>
      </c>
      <c r="M20" s="1" t="s">
        <v>297</v>
      </c>
      <c r="N20" s="1" t="s">
        <v>53</v>
      </c>
      <c r="O20" s="1" t="s">
        <v>61</v>
      </c>
      <c r="P20" s="1" t="s">
        <v>297</v>
      </c>
      <c r="Q20" s="1" t="s">
        <v>53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5">
      <c r="A21" s="1"/>
      <c r="B21" s="1">
        <v>2031</v>
      </c>
      <c r="C21" s="1" t="s">
        <v>35</v>
      </c>
      <c r="D21" s="1" t="s">
        <v>297</v>
      </c>
      <c r="E21" s="1" t="s">
        <v>38</v>
      </c>
      <c r="F21" s="1" t="s">
        <v>52</v>
      </c>
      <c r="G21" s="1" t="s">
        <v>297</v>
      </c>
      <c r="H21" s="1" t="s">
        <v>53</v>
      </c>
      <c r="I21" s="1" t="s">
        <v>57</v>
      </c>
      <c r="J21" s="1" t="s">
        <v>297</v>
      </c>
      <c r="K21" s="1" t="s">
        <v>53</v>
      </c>
      <c r="L21" s="1" t="s">
        <v>59</v>
      </c>
      <c r="M21" s="1" t="s">
        <v>297</v>
      </c>
      <c r="N21" s="1" t="s">
        <v>53</v>
      </c>
      <c r="O21" s="1" t="s">
        <v>61</v>
      </c>
      <c r="P21" s="1" t="s">
        <v>297</v>
      </c>
      <c r="Q21" s="1" t="s">
        <v>53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5">
      <c r="A22" s="1"/>
      <c r="B22" s="1">
        <v>2032</v>
      </c>
      <c r="C22" s="1" t="s">
        <v>35</v>
      </c>
      <c r="D22" s="1" t="s">
        <v>297</v>
      </c>
      <c r="E22" s="1" t="s">
        <v>38</v>
      </c>
      <c r="F22" s="1" t="s">
        <v>52</v>
      </c>
      <c r="G22" s="1" t="s">
        <v>297</v>
      </c>
      <c r="H22" s="1" t="s">
        <v>53</v>
      </c>
      <c r="I22" s="1" t="s">
        <v>57</v>
      </c>
      <c r="J22" s="1" t="s">
        <v>297</v>
      </c>
      <c r="K22" s="1" t="s">
        <v>53</v>
      </c>
      <c r="L22" s="1" t="s">
        <v>59</v>
      </c>
      <c r="M22" s="1" t="s">
        <v>297</v>
      </c>
      <c r="N22" s="1" t="s">
        <v>53</v>
      </c>
      <c r="O22" s="1" t="s">
        <v>61</v>
      </c>
      <c r="P22" s="1" t="s">
        <v>297</v>
      </c>
      <c r="Q22" s="1" t="s">
        <v>53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5">
      <c r="A23" s="1"/>
      <c r="B23" s="1">
        <v>2033</v>
      </c>
      <c r="C23" s="1" t="s">
        <v>35</v>
      </c>
      <c r="D23" s="1" t="s">
        <v>297</v>
      </c>
      <c r="E23" s="1" t="s">
        <v>38</v>
      </c>
      <c r="F23" s="1" t="s">
        <v>52</v>
      </c>
      <c r="G23" s="1" t="s">
        <v>297</v>
      </c>
      <c r="H23" s="1" t="s">
        <v>53</v>
      </c>
      <c r="I23" s="1" t="s">
        <v>57</v>
      </c>
      <c r="J23" s="1" t="s">
        <v>297</v>
      </c>
      <c r="K23" s="1" t="s">
        <v>53</v>
      </c>
      <c r="L23" s="1" t="s">
        <v>59</v>
      </c>
      <c r="M23" s="1" t="s">
        <v>297</v>
      </c>
      <c r="N23" s="1" t="s">
        <v>53</v>
      </c>
      <c r="O23" s="1" t="s">
        <v>61</v>
      </c>
      <c r="P23" s="1" t="s">
        <v>297</v>
      </c>
      <c r="Q23" s="1" t="s">
        <v>53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5">
      <c r="A24" s="1"/>
      <c r="B24" s="1">
        <v>2034</v>
      </c>
      <c r="C24" s="1" t="s">
        <v>35</v>
      </c>
      <c r="D24" s="1" t="s">
        <v>297</v>
      </c>
      <c r="E24" s="1" t="s">
        <v>38</v>
      </c>
      <c r="F24" s="1" t="s">
        <v>52</v>
      </c>
      <c r="G24" s="1" t="s">
        <v>297</v>
      </c>
      <c r="H24" s="1" t="s">
        <v>53</v>
      </c>
      <c r="I24" s="1" t="s">
        <v>57</v>
      </c>
      <c r="J24" s="1" t="s">
        <v>297</v>
      </c>
      <c r="K24" s="1" t="s">
        <v>53</v>
      </c>
      <c r="L24" s="1" t="s">
        <v>59</v>
      </c>
      <c r="M24" s="1" t="s">
        <v>297</v>
      </c>
      <c r="N24" s="1" t="s">
        <v>53</v>
      </c>
      <c r="O24" s="1" t="s">
        <v>61</v>
      </c>
      <c r="P24" s="1" t="s">
        <v>297</v>
      </c>
      <c r="Q24" s="1" t="s">
        <v>53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5">
      <c r="A25" s="1"/>
      <c r="B25" s="1">
        <v>2035</v>
      </c>
      <c r="C25" s="1" t="s">
        <v>35</v>
      </c>
      <c r="D25" s="3">
        <v>2.3599999999999999E-2</v>
      </c>
      <c r="E25" s="1" t="s">
        <v>38</v>
      </c>
      <c r="F25" s="1" t="s">
        <v>52</v>
      </c>
      <c r="G25" s="3">
        <v>0</v>
      </c>
      <c r="H25" s="1" t="s">
        <v>53</v>
      </c>
      <c r="I25" s="1" t="s">
        <v>57</v>
      </c>
      <c r="J25" s="3">
        <f>D25/0.5/3.6</f>
        <v>1.311111111111111E-2</v>
      </c>
      <c r="K25" s="1" t="s">
        <v>53</v>
      </c>
      <c r="L25" s="1" t="s">
        <v>59</v>
      </c>
      <c r="M25" s="1" t="s">
        <v>297</v>
      </c>
      <c r="N25" s="1" t="s">
        <v>53</v>
      </c>
      <c r="O25" s="1" t="s">
        <v>61</v>
      </c>
      <c r="P25" s="1" t="s">
        <v>297</v>
      </c>
      <c r="Q25" s="1" t="s">
        <v>53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5">
      <c r="A26" s="1"/>
      <c r="B26" s="1">
        <v>2036</v>
      </c>
      <c r="C26" s="1" t="s">
        <v>35</v>
      </c>
      <c r="D26" s="1" t="s">
        <v>297</v>
      </c>
      <c r="E26" s="1" t="s">
        <v>38</v>
      </c>
      <c r="F26" s="1" t="s">
        <v>52</v>
      </c>
      <c r="G26" s="1" t="s">
        <v>297</v>
      </c>
      <c r="H26" s="1" t="s">
        <v>53</v>
      </c>
      <c r="I26" s="1" t="s">
        <v>57</v>
      </c>
      <c r="J26" s="1" t="s">
        <v>297</v>
      </c>
      <c r="K26" s="1" t="s">
        <v>53</v>
      </c>
      <c r="L26" s="1" t="s">
        <v>59</v>
      </c>
      <c r="M26" s="1" t="s">
        <v>297</v>
      </c>
      <c r="N26" s="1" t="s">
        <v>53</v>
      </c>
      <c r="O26" s="1" t="s">
        <v>61</v>
      </c>
      <c r="P26" s="1" t="s">
        <v>297</v>
      </c>
      <c r="Q26" s="1" t="s">
        <v>53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5">
      <c r="A27" s="1"/>
      <c r="B27" s="1">
        <v>2037</v>
      </c>
      <c r="C27" s="1" t="s">
        <v>35</v>
      </c>
      <c r="D27" s="1" t="s">
        <v>297</v>
      </c>
      <c r="E27" s="1" t="s">
        <v>38</v>
      </c>
      <c r="F27" s="1" t="s">
        <v>52</v>
      </c>
      <c r="G27" s="1" t="s">
        <v>297</v>
      </c>
      <c r="H27" s="1" t="s">
        <v>53</v>
      </c>
      <c r="I27" s="1" t="s">
        <v>57</v>
      </c>
      <c r="J27" s="1" t="s">
        <v>297</v>
      </c>
      <c r="K27" s="1" t="s">
        <v>53</v>
      </c>
      <c r="L27" s="1" t="s">
        <v>59</v>
      </c>
      <c r="M27" s="1" t="s">
        <v>297</v>
      </c>
      <c r="N27" s="1" t="s">
        <v>53</v>
      </c>
      <c r="O27" s="1" t="s">
        <v>61</v>
      </c>
      <c r="P27" s="1" t="s">
        <v>297</v>
      </c>
      <c r="Q27" s="1" t="s">
        <v>53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5">
      <c r="A28" s="1"/>
      <c r="B28" s="1">
        <v>2038</v>
      </c>
      <c r="C28" s="1" t="s">
        <v>35</v>
      </c>
      <c r="D28" s="1" t="s">
        <v>297</v>
      </c>
      <c r="E28" s="1" t="s">
        <v>38</v>
      </c>
      <c r="F28" s="1" t="s">
        <v>52</v>
      </c>
      <c r="G28" s="1" t="s">
        <v>297</v>
      </c>
      <c r="H28" s="1" t="s">
        <v>53</v>
      </c>
      <c r="I28" s="1" t="s">
        <v>57</v>
      </c>
      <c r="J28" s="1" t="s">
        <v>297</v>
      </c>
      <c r="K28" s="1" t="s">
        <v>53</v>
      </c>
      <c r="L28" s="1" t="s">
        <v>59</v>
      </c>
      <c r="M28" s="1" t="s">
        <v>297</v>
      </c>
      <c r="N28" s="1" t="s">
        <v>53</v>
      </c>
      <c r="O28" s="1" t="s">
        <v>61</v>
      </c>
      <c r="P28" s="1" t="s">
        <v>297</v>
      </c>
      <c r="Q28" s="1" t="s">
        <v>53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5">
      <c r="A29" s="1"/>
      <c r="B29" s="1">
        <v>2039</v>
      </c>
      <c r="C29" s="1" t="s">
        <v>35</v>
      </c>
      <c r="D29" s="1" t="s">
        <v>297</v>
      </c>
      <c r="E29" s="1" t="s">
        <v>38</v>
      </c>
      <c r="F29" s="1" t="s">
        <v>52</v>
      </c>
      <c r="G29" s="1" t="s">
        <v>297</v>
      </c>
      <c r="H29" s="1" t="s">
        <v>53</v>
      </c>
      <c r="I29" s="1" t="s">
        <v>57</v>
      </c>
      <c r="J29" s="1" t="s">
        <v>297</v>
      </c>
      <c r="K29" s="1" t="s">
        <v>53</v>
      </c>
      <c r="L29" s="1" t="s">
        <v>59</v>
      </c>
      <c r="M29" s="1" t="s">
        <v>297</v>
      </c>
      <c r="N29" s="1" t="s">
        <v>53</v>
      </c>
      <c r="O29" s="1" t="s">
        <v>61</v>
      </c>
      <c r="P29" s="1" t="s">
        <v>297</v>
      </c>
      <c r="Q29" s="1" t="s">
        <v>53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5">
      <c r="A30" s="1"/>
      <c r="B30" s="1">
        <v>2040</v>
      </c>
      <c r="C30" s="1" t="s">
        <v>35</v>
      </c>
      <c r="D30" s="3">
        <v>1.7999999999999999E-2</v>
      </c>
      <c r="E30" s="1" t="s">
        <v>38</v>
      </c>
      <c r="F30" s="1" t="s">
        <v>52</v>
      </c>
      <c r="G30" s="3">
        <v>0</v>
      </c>
      <c r="H30" s="1" t="s">
        <v>53</v>
      </c>
      <c r="I30" s="1" t="s">
        <v>57</v>
      </c>
      <c r="J30" s="3">
        <f>D30/0.5/3.6</f>
        <v>9.9999999999999985E-3</v>
      </c>
      <c r="K30" s="1" t="s">
        <v>53</v>
      </c>
      <c r="L30" s="1" t="s">
        <v>59</v>
      </c>
      <c r="M30" s="1" t="s">
        <v>297</v>
      </c>
      <c r="N30" s="1" t="s">
        <v>53</v>
      </c>
      <c r="O30" s="1" t="s">
        <v>61</v>
      </c>
      <c r="P30" s="1" t="s">
        <v>297</v>
      </c>
      <c r="Q30" s="1" t="s">
        <v>53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5">
      <c r="A31" s="1"/>
      <c r="B31" s="1">
        <v>2041</v>
      </c>
      <c r="C31" s="1" t="s">
        <v>35</v>
      </c>
      <c r="D31" s="1" t="s">
        <v>297</v>
      </c>
      <c r="E31" s="1" t="s">
        <v>38</v>
      </c>
      <c r="F31" s="1" t="s">
        <v>52</v>
      </c>
      <c r="G31" s="1" t="s">
        <v>297</v>
      </c>
      <c r="H31" s="1" t="s">
        <v>53</v>
      </c>
      <c r="I31" s="1" t="s">
        <v>57</v>
      </c>
      <c r="J31" s="1" t="s">
        <v>297</v>
      </c>
      <c r="K31" s="1" t="s">
        <v>53</v>
      </c>
      <c r="L31" s="1" t="s">
        <v>59</v>
      </c>
      <c r="M31" s="1" t="s">
        <v>297</v>
      </c>
      <c r="N31" s="1" t="s">
        <v>53</v>
      </c>
      <c r="O31" s="1" t="s">
        <v>61</v>
      </c>
      <c r="P31" s="1" t="s">
        <v>297</v>
      </c>
      <c r="Q31" s="1" t="s">
        <v>53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5">
      <c r="A32" s="1"/>
      <c r="B32" s="1">
        <v>2042</v>
      </c>
      <c r="C32" s="1" t="s">
        <v>35</v>
      </c>
      <c r="D32" s="1" t="s">
        <v>297</v>
      </c>
      <c r="E32" s="1" t="s">
        <v>38</v>
      </c>
      <c r="F32" s="1" t="s">
        <v>52</v>
      </c>
      <c r="G32" s="1" t="s">
        <v>297</v>
      </c>
      <c r="H32" s="1" t="s">
        <v>53</v>
      </c>
      <c r="I32" s="1" t="s">
        <v>57</v>
      </c>
      <c r="J32" s="1" t="s">
        <v>297</v>
      </c>
      <c r="K32" s="1" t="s">
        <v>53</v>
      </c>
      <c r="L32" s="1" t="s">
        <v>59</v>
      </c>
      <c r="M32" s="1" t="s">
        <v>297</v>
      </c>
      <c r="N32" s="1" t="s">
        <v>53</v>
      </c>
      <c r="O32" s="1" t="s">
        <v>61</v>
      </c>
      <c r="P32" s="1" t="s">
        <v>297</v>
      </c>
      <c r="Q32" s="1" t="s">
        <v>53</v>
      </c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5">
      <c r="A33" s="1"/>
      <c r="B33" s="1">
        <v>2043</v>
      </c>
      <c r="C33" s="1" t="s">
        <v>35</v>
      </c>
      <c r="D33" s="1" t="s">
        <v>297</v>
      </c>
      <c r="E33" s="1" t="s">
        <v>38</v>
      </c>
      <c r="F33" s="1" t="s">
        <v>52</v>
      </c>
      <c r="G33" s="1" t="s">
        <v>297</v>
      </c>
      <c r="H33" s="1" t="s">
        <v>53</v>
      </c>
      <c r="I33" s="1" t="s">
        <v>57</v>
      </c>
      <c r="J33" s="1" t="s">
        <v>297</v>
      </c>
      <c r="K33" s="1" t="s">
        <v>53</v>
      </c>
      <c r="L33" s="1" t="s">
        <v>59</v>
      </c>
      <c r="M33" s="1" t="s">
        <v>297</v>
      </c>
      <c r="N33" s="1" t="s">
        <v>53</v>
      </c>
      <c r="O33" s="1" t="s">
        <v>61</v>
      </c>
      <c r="P33" s="1" t="s">
        <v>297</v>
      </c>
      <c r="Q33" s="1" t="s">
        <v>53</v>
      </c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5">
      <c r="A34" s="1"/>
      <c r="B34" s="1">
        <v>2044</v>
      </c>
      <c r="C34" s="1" t="s">
        <v>35</v>
      </c>
      <c r="D34" s="1" t="s">
        <v>297</v>
      </c>
      <c r="E34" s="1" t="s">
        <v>38</v>
      </c>
      <c r="F34" s="1" t="s">
        <v>52</v>
      </c>
      <c r="G34" s="1" t="s">
        <v>297</v>
      </c>
      <c r="H34" s="1" t="s">
        <v>53</v>
      </c>
      <c r="I34" s="1" t="s">
        <v>57</v>
      </c>
      <c r="J34" s="1" t="s">
        <v>297</v>
      </c>
      <c r="K34" s="1" t="s">
        <v>53</v>
      </c>
      <c r="L34" s="1" t="s">
        <v>59</v>
      </c>
      <c r="M34" s="1" t="s">
        <v>297</v>
      </c>
      <c r="N34" s="1" t="s">
        <v>53</v>
      </c>
      <c r="O34" s="1" t="s">
        <v>61</v>
      </c>
      <c r="P34" s="1" t="s">
        <v>297</v>
      </c>
      <c r="Q34" s="1" t="s">
        <v>53</v>
      </c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5">
      <c r="A35" s="1"/>
      <c r="B35" s="1">
        <v>2045</v>
      </c>
      <c r="C35" s="1" t="s">
        <v>35</v>
      </c>
      <c r="D35" s="1">
        <v>1.5599999999999999E-2</v>
      </c>
      <c r="E35" s="1" t="s">
        <v>38</v>
      </c>
      <c r="F35" s="1" t="s">
        <v>52</v>
      </c>
      <c r="G35" s="3">
        <v>0</v>
      </c>
      <c r="H35" s="1" t="s">
        <v>53</v>
      </c>
      <c r="I35" s="1" t="s">
        <v>57</v>
      </c>
      <c r="J35" s="3">
        <f>D35/0.5/3.6</f>
        <v>8.6666666666666663E-3</v>
      </c>
      <c r="K35" s="1" t="s">
        <v>53</v>
      </c>
      <c r="L35" s="1" t="s">
        <v>59</v>
      </c>
      <c r="M35" s="1" t="s">
        <v>297</v>
      </c>
      <c r="N35" s="1" t="s">
        <v>53</v>
      </c>
      <c r="O35" s="1" t="s">
        <v>61</v>
      </c>
      <c r="P35" s="1" t="s">
        <v>297</v>
      </c>
      <c r="Q35" s="1" t="s">
        <v>53</v>
      </c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5">
      <c r="A36" s="1"/>
      <c r="B36" s="1">
        <v>2046</v>
      </c>
      <c r="C36" s="1" t="s">
        <v>35</v>
      </c>
      <c r="D36" s="1" t="s">
        <v>297</v>
      </c>
      <c r="E36" s="1" t="s">
        <v>38</v>
      </c>
      <c r="F36" s="1" t="s">
        <v>52</v>
      </c>
      <c r="G36" s="1" t="s">
        <v>297</v>
      </c>
      <c r="H36" s="1" t="s">
        <v>53</v>
      </c>
      <c r="I36" s="1" t="s">
        <v>57</v>
      </c>
      <c r="J36" s="1" t="s">
        <v>297</v>
      </c>
      <c r="K36" s="1" t="s">
        <v>53</v>
      </c>
      <c r="L36" s="1" t="s">
        <v>59</v>
      </c>
      <c r="M36" s="1" t="s">
        <v>297</v>
      </c>
      <c r="N36" s="1" t="s">
        <v>53</v>
      </c>
      <c r="O36" s="1" t="s">
        <v>61</v>
      </c>
      <c r="P36" s="1" t="s">
        <v>297</v>
      </c>
      <c r="Q36" s="1" t="s">
        <v>53</v>
      </c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5">
      <c r="A37" s="1"/>
      <c r="B37" s="1">
        <v>2047</v>
      </c>
      <c r="C37" s="1" t="s">
        <v>35</v>
      </c>
      <c r="D37" s="1" t="s">
        <v>297</v>
      </c>
      <c r="E37" s="1" t="s">
        <v>38</v>
      </c>
      <c r="F37" s="1" t="s">
        <v>52</v>
      </c>
      <c r="G37" s="1" t="s">
        <v>297</v>
      </c>
      <c r="H37" s="1" t="s">
        <v>53</v>
      </c>
      <c r="I37" s="1" t="s">
        <v>57</v>
      </c>
      <c r="J37" s="1" t="s">
        <v>297</v>
      </c>
      <c r="K37" s="1" t="s">
        <v>53</v>
      </c>
      <c r="L37" s="1" t="s">
        <v>59</v>
      </c>
      <c r="M37" s="1" t="s">
        <v>297</v>
      </c>
      <c r="N37" s="1" t="s">
        <v>53</v>
      </c>
      <c r="O37" s="1" t="s">
        <v>61</v>
      </c>
      <c r="P37" s="1" t="s">
        <v>297</v>
      </c>
      <c r="Q37" s="1" t="s">
        <v>53</v>
      </c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5">
      <c r="A38" s="1"/>
      <c r="B38" s="1">
        <v>2048</v>
      </c>
      <c r="C38" s="1" t="s">
        <v>35</v>
      </c>
      <c r="D38" s="1" t="s">
        <v>297</v>
      </c>
      <c r="E38" s="1" t="s">
        <v>38</v>
      </c>
      <c r="F38" s="1" t="s">
        <v>52</v>
      </c>
      <c r="G38" s="1" t="s">
        <v>297</v>
      </c>
      <c r="H38" s="1" t="s">
        <v>53</v>
      </c>
      <c r="I38" s="1" t="s">
        <v>57</v>
      </c>
      <c r="J38" s="1" t="s">
        <v>297</v>
      </c>
      <c r="K38" s="1" t="s">
        <v>53</v>
      </c>
      <c r="L38" s="1" t="s">
        <v>59</v>
      </c>
      <c r="M38" s="1" t="s">
        <v>297</v>
      </c>
      <c r="N38" s="1" t="s">
        <v>53</v>
      </c>
      <c r="O38" s="1" t="s">
        <v>61</v>
      </c>
      <c r="P38" s="1" t="s">
        <v>297</v>
      </c>
      <c r="Q38" s="1" t="s">
        <v>53</v>
      </c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5">
      <c r="A39" s="1"/>
      <c r="B39" s="1">
        <v>2049</v>
      </c>
      <c r="C39" s="1" t="s">
        <v>35</v>
      </c>
      <c r="D39" s="1" t="s">
        <v>297</v>
      </c>
      <c r="E39" s="1" t="s">
        <v>38</v>
      </c>
      <c r="F39" s="1" t="s">
        <v>52</v>
      </c>
      <c r="G39" s="1" t="s">
        <v>297</v>
      </c>
      <c r="H39" s="1" t="s">
        <v>53</v>
      </c>
      <c r="I39" s="1" t="s">
        <v>57</v>
      </c>
      <c r="J39" s="1" t="s">
        <v>297</v>
      </c>
      <c r="K39" s="1" t="s">
        <v>53</v>
      </c>
      <c r="L39" s="1" t="s">
        <v>59</v>
      </c>
      <c r="M39" s="1" t="s">
        <v>297</v>
      </c>
      <c r="N39" s="1" t="s">
        <v>53</v>
      </c>
      <c r="O39" s="1" t="s">
        <v>61</v>
      </c>
      <c r="P39" s="1" t="s">
        <v>297</v>
      </c>
      <c r="Q39" s="1" t="s">
        <v>53</v>
      </c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5">
      <c r="A40" s="1"/>
      <c r="B40" s="1">
        <v>2050</v>
      </c>
      <c r="C40" s="1" t="s">
        <v>35</v>
      </c>
      <c r="D40" s="1">
        <v>1.5599999999999999E-2</v>
      </c>
      <c r="E40" s="1" t="s">
        <v>38</v>
      </c>
      <c r="F40" s="1" t="s">
        <v>52</v>
      </c>
      <c r="G40" s="3">
        <v>0</v>
      </c>
      <c r="H40" s="1" t="s">
        <v>53</v>
      </c>
      <c r="I40" s="1" t="s">
        <v>57</v>
      </c>
      <c r="J40" s="3">
        <f>D40/0.5/3.6</f>
        <v>8.6666666666666663E-3</v>
      </c>
      <c r="K40" s="1" t="s">
        <v>53</v>
      </c>
      <c r="L40" s="1" t="s">
        <v>59</v>
      </c>
      <c r="M40" s="3">
        <f>M15*(1-0.03)</f>
        <v>6.8636160714285702E-2</v>
      </c>
      <c r="N40" s="1" t="s">
        <v>53</v>
      </c>
      <c r="O40" s="1" t="s">
        <v>61</v>
      </c>
      <c r="P40" s="3">
        <f>M40*(1-0.8)</f>
        <v>1.3727232142857137E-2</v>
      </c>
      <c r="Q40" s="1" t="s">
        <v>53</v>
      </c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5">
      <c r="A41" s="4" t="s">
        <v>292</v>
      </c>
      <c r="B41" s="4" t="s">
        <v>11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4" spans="1:26" ht="12.75" customHeight="1" x14ac:dyDescent="0.35">
      <c r="A44" s="32" t="s">
        <v>298</v>
      </c>
      <c r="B44" s="2" t="s">
        <v>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5">
      <c r="A45" s="1" t="s">
        <v>3</v>
      </c>
      <c r="B45" s="1" t="s">
        <v>78</v>
      </c>
      <c r="C45" s="1" t="s">
        <v>165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5">
      <c r="A46" s="1"/>
      <c r="B46" s="1" t="s">
        <v>78</v>
      </c>
      <c r="C46" s="22" t="s">
        <v>86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5">
      <c r="A47" s="1" t="s">
        <v>3</v>
      </c>
      <c r="B47" s="1" t="s">
        <v>150</v>
      </c>
      <c r="C47" s="1" t="s">
        <v>293</v>
      </c>
      <c r="D47" s="1" t="s">
        <v>315</v>
      </c>
      <c r="E47" s="3" t="s">
        <v>295</v>
      </c>
      <c r="F47" s="1" t="s">
        <v>212</v>
      </c>
      <c r="G47" s="1" t="s">
        <v>212</v>
      </c>
      <c r="I47" s="1" t="s">
        <v>296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5">
      <c r="A48" s="1"/>
      <c r="B48" s="1">
        <v>2025</v>
      </c>
      <c r="C48" s="1" t="s">
        <v>35</v>
      </c>
      <c r="D48" s="3">
        <v>1.9599999999999999E-2</v>
      </c>
      <c r="E48" s="1" t="s">
        <v>38</v>
      </c>
      <c r="F48" s="1" t="s">
        <v>52</v>
      </c>
      <c r="G48" s="3">
        <v>0</v>
      </c>
      <c r="H48" s="1" t="s">
        <v>53</v>
      </c>
      <c r="I48" s="1" t="s">
        <v>57</v>
      </c>
      <c r="J48" s="3">
        <f>D48/0.5/3.6</f>
        <v>1.0888888888888889E-2</v>
      </c>
      <c r="K48" s="1" t="s">
        <v>53</v>
      </c>
      <c r="L48" s="1" t="s">
        <v>59</v>
      </c>
      <c r="M48" s="3">
        <f>M15</f>
        <v>7.0758928571428556E-2</v>
      </c>
      <c r="N48" s="1" t="s">
        <v>53</v>
      </c>
      <c r="O48" s="1" t="s">
        <v>61</v>
      </c>
      <c r="P48" s="3">
        <f>M48*(1-0.8)</f>
        <v>1.4151785714285709E-2</v>
      </c>
      <c r="Q48" s="1" t="s">
        <v>53</v>
      </c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5">
      <c r="A49" s="1"/>
      <c r="B49" s="1">
        <v>2026</v>
      </c>
      <c r="C49" s="1" t="s">
        <v>35</v>
      </c>
      <c r="D49" s="1" t="s">
        <v>297</v>
      </c>
      <c r="E49" s="1" t="s">
        <v>38</v>
      </c>
      <c r="F49" s="1" t="s">
        <v>52</v>
      </c>
      <c r="G49" s="1" t="s">
        <v>297</v>
      </c>
      <c r="H49" s="1" t="s">
        <v>53</v>
      </c>
      <c r="I49" s="1" t="s">
        <v>57</v>
      </c>
      <c r="J49" s="1" t="s">
        <v>297</v>
      </c>
      <c r="K49" s="1" t="s">
        <v>53</v>
      </c>
      <c r="L49" s="1" t="s">
        <v>59</v>
      </c>
      <c r="M49" s="1" t="s">
        <v>297</v>
      </c>
      <c r="N49" s="1" t="s">
        <v>53</v>
      </c>
      <c r="O49" s="1" t="s">
        <v>61</v>
      </c>
      <c r="P49" s="1" t="s">
        <v>297</v>
      </c>
      <c r="Q49" s="1" t="s">
        <v>53</v>
      </c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5">
      <c r="A50" s="1"/>
      <c r="B50" s="1">
        <v>2027</v>
      </c>
      <c r="C50" s="1" t="s">
        <v>35</v>
      </c>
      <c r="D50" s="1" t="s">
        <v>297</v>
      </c>
      <c r="E50" s="1" t="s">
        <v>38</v>
      </c>
      <c r="F50" s="1" t="s">
        <v>52</v>
      </c>
      <c r="G50" s="1" t="s">
        <v>297</v>
      </c>
      <c r="H50" s="1" t="s">
        <v>53</v>
      </c>
      <c r="I50" s="1" t="s">
        <v>57</v>
      </c>
      <c r="J50" s="1" t="s">
        <v>297</v>
      </c>
      <c r="K50" s="1" t="s">
        <v>53</v>
      </c>
      <c r="L50" s="1" t="s">
        <v>59</v>
      </c>
      <c r="M50" s="1" t="s">
        <v>297</v>
      </c>
      <c r="N50" s="1" t="s">
        <v>53</v>
      </c>
      <c r="O50" s="1" t="s">
        <v>61</v>
      </c>
      <c r="P50" s="1" t="s">
        <v>297</v>
      </c>
      <c r="Q50" s="1" t="s">
        <v>53</v>
      </c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5">
      <c r="A51" s="1"/>
      <c r="B51" s="1">
        <v>2028</v>
      </c>
      <c r="C51" s="1" t="s">
        <v>35</v>
      </c>
      <c r="D51" s="1" t="s">
        <v>297</v>
      </c>
      <c r="E51" s="1" t="s">
        <v>38</v>
      </c>
      <c r="F51" s="1" t="s">
        <v>52</v>
      </c>
      <c r="G51" s="1" t="s">
        <v>297</v>
      </c>
      <c r="H51" s="1" t="s">
        <v>53</v>
      </c>
      <c r="I51" s="1" t="s">
        <v>57</v>
      </c>
      <c r="J51" s="1" t="s">
        <v>297</v>
      </c>
      <c r="K51" s="1" t="s">
        <v>53</v>
      </c>
      <c r="L51" s="1" t="s">
        <v>59</v>
      </c>
      <c r="M51" s="1" t="s">
        <v>297</v>
      </c>
      <c r="N51" s="1" t="s">
        <v>53</v>
      </c>
      <c r="O51" s="1" t="s">
        <v>61</v>
      </c>
      <c r="P51" s="1" t="s">
        <v>297</v>
      </c>
      <c r="Q51" s="1" t="s">
        <v>53</v>
      </c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5">
      <c r="A52" s="1"/>
      <c r="B52" s="1">
        <v>2029</v>
      </c>
      <c r="C52" s="1" t="s">
        <v>35</v>
      </c>
      <c r="D52" s="1" t="s">
        <v>297</v>
      </c>
      <c r="E52" s="1" t="s">
        <v>38</v>
      </c>
      <c r="F52" s="1" t="s">
        <v>52</v>
      </c>
      <c r="G52" s="1" t="s">
        <v>297</v>
      </c>
      <c r="H52" s="1" t="s">
        <v>53</v>
      </c>
      <c r="I52" s="1" t="s">
        <v>57</v>
      </c>
      <c r="J52" s="1" t="s">
        <v>297</v>
      </c>
      <c r="K52" s="1" t="s">
        <v>53</v>
      </c>
      <c r="L52" s="1" t="s">
        <v>59</v>
      </c>
      <c r="M52" s="1" t="s">
        <v>297</v>
      </c>
      <c r="N52" s="1" t="s">
        <v>53</v>
      </c>
      <c r="O52" s="1" t="s">
        <v>61</v>
      </c>
      <c r="P52" s="1" t="s">
        <v>297</v>
      </c>
      <c r="Q52" s="1" t="s">
        <v>53</v>
      </c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5">
      <c r="A53" s="1"/>
      <c r="B53" s="1">
        <v>2030</v>
      </c>
      <c r="C53" s="1" t="s">
        <v>35</v>
      </c>
      <c r="D53" s="3">
        <v>2.3699999999999999E-2</v>
      </c>
      <c r="E53" s="1" t="s">
        <v>38</v>
      </c>
      <c r="F53" s="1" t="s">
        <v>52</v>
      </c>
      <c r="G53" s="3">
        <v>0</v>
      </c>
      <c r="H53" s="1" t="s">
        <v>53</v>
      </c>
      <c r="I53" s="1" t="s">
        <v>57</v>
      </c>
      <c r="J53" s="3">
        <f>D53/0.5/3.6</f>
        <v>1.3166666666666665E-2</v>
      </c>
      <c r="K53" s="1" t="s">
        <v>53</v>
      </c>
      <c r="L53" s="1" t="s">
        <v>59</v>
      </c>
      <c r="M53" s="1" t="s">
        <v>297</v>
      </c>
      <c r="N53" s="1" t="s">
        <v>53</v>
      </c>
      <c r="O53" s="1" t="s">
        <v>61</v>
      </c>
      <c r="P53" s="1" t="s">
        <v>297</v>
      </c>
      <c r="Q53" s="1" t="s">
        <v>53</v>
      </c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5">
      <c r="A54" s="1"/>
      <c r="B54" s="1">
        <v>2031</v>
      </c>
      <c r="C54" s="1" t="s">
        <v>35</v>
      </c>
      <c r="D54" s="1" t="s">
        <v>297</v>
      </c>
      <c r="E54" s="1" t="s">
        <v>38</v>
      </c>
      <c r="F54" s="1" t="s">
        <v>52</v>
      </c>
      <c r="G54" s="1" t="s">
        <v>297</v>
      </c>
      <c r="H54" s="1" t="s">
        <v>53</v>
      </c>
      <c r="I54" s="1" t="s">
        <v>57</v>
      </c>
      <c r="J54" s="1" t="s">
        <v>297</v>
      </c>
      <c r="K54" s="1" t="s">
        <v>53</v>
      </c>
      <c r="L54" s="1" t="s">
        <v>59</v>
      </c>
      <c r="M54" s="1" t="s">
        <v>297</v>
      </c>
      <c r="N54" s="1" t="s">
        <v>53</v>
      </c>
      <c r="O54" s="1" t="s">
        <v>61</v>
      </c>
      <c r="P54" s="1" t="s">
        <v>297</v>
      </c>
      <c r="Q54" s="1" t="s">
        <v>53</v>
      </c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5">
      <c r="A55" s="1"/>
      <c r="B55" s="1">
        <v>2032</v>
      </c>
      <c r="C55" s="1" t="s">
        <v>35</v>
      </c>
      <c r="D55" s="1" t="s">
        <v>297</v>
      </c>
      <c r="E55" s="1" t="s">
        <v>38</v>
      </c>
      <c r="F55" s="1" t="s">
        <v>52</v>
      </c>
      <c r="G55" s="1" t="s">
        <v>297</v>
      </c>
      <c r="H55" s="1" t="s">
        <v>53</v>
      </c>
      <c r="I55" s="1" t="s">
        <v>57</v>
      </c>
      <c r="J55" s="1" t="s">
        <v>297</v>
      </c>
      <c r="K55" s="1" t="s">
        <v>53</v>
      </c>
      <c r="L55" s="1" t="s">
        <v>59</v>
      </c>
      <c r="M55" s="1" t="s">
        <v>297</v>
      </c>
      <c r="N55" s="1" t="s">
        <v>53</v>
      </c>
      <c r="O55" s="1" t="s">
        <v>61</v>
      </c>
      <c r="P55" s="1" t="s">
        <v>297</v>
      </c>
      <c r="Q55" s="1" t="s">
        <v>53</v>
      </c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5">
      <c r="A56" s="1"/>
      <c r="B56" s="1">
        <v>2033</v>
      </c>
      <c r="C56" s="1" t="s">
        <v>35</v>
      </c>
      <c r="D56" s="1" t="s">
        <v>297</v>
      </c>
      <c r="E56" s="1" t="s">
        <v>38</v>
      </c>
      <c r="F56" s="1" t="s">
        <v>52</v>
      </c>
      <c r="G56" s="1" t="s">
        <v>297</v>
      </c>
      <c r="H56" s="1" t="s">
        <v>53</v>
      </c>
      <c r="I56" s="1" t="s">
        <v>57</v>
      </c>
      <c r="J56" s="1" t="s">
        <v>297</v>
      </c>
      <c r="K56" s="1" t="s">
        <v>53</v>
      </c>
      <c r="L56" s="1" t="s">
        <v>59</v>
      </c>
      <c r="M56" s="1" t="s">
        <v>297</v>
      </c>
      <c r="N56" s="1" t="s">
        <v>53</v>
      </c>
      <c r="O56" s="1" t="s">
        <v>61</v>
      </c>
      <c r="P56" s="1" t="s">
        <v>297</v>
      </c>
      <c r="Q56" s="1" t="s">
        <v>53</v>
      </c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5">
      <c r="A57" s="1"/>
      <c r="B57" s="1">
        <v>2034</v>
      </c>
      <c r="C57" s="1" t="s">
        <v>35</v>
      </c>
      <c r="D57" s="1" t="s">
        <v>297</v>
      </c>
      <c r="E57" s="1" t="s">
        <v>38</v>
      </c>
      <c r="F57" s="1" t="s">
        <v>52</v>
      </c>
      <c r="G57" s="1" t="s">
        <v>297</v>
      </c>
      <c r="H57" s="1" t="s">
        <v>53</v>
      </c>
      <c r="I57" s="1" t="s">
        <v>57</v>
      </c>
      <c r="J57" s="1" t="s">
        <v>297</v>
      </c>
      <c r="K57" s="1" t="s">
        <v>53</v>
      </c>
      <c r="L57" s="1" t="s">
        <v>59</v>
      </c>
      <c r="M57" s="1" t="s">
        <v>297</v>
      </c>
      <c r="N57" s="1" t="s">
        <v>53</v>
      </c>
      <c r="O57" s="1" t="s">
        <v>61</v>
      </c>
      <c r="P57" s="1" t="s">
        <v>297</v>
      </c>
      <c r="Q57" s="1" t="s">
        <v>53</v>
      </c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5">
      <c r="A58" s="1"/>
      <c r="B58" s="1">
        <v>2035</v>
      </c>
      <c r="C58" s="1" t="s">
        <v>35</v>
      </c>
      <c r="D58" s="3">
        <v>1.61E-2</v>
      </c>
      <c r="E58" s="1" t="s">
        <v>38</v>
      </c>
      <c r="F58" s="1" t="s">
        <v>52</v>
      </c>
      <c r="G58" s="3">
        <v>0</v>
      </c>
      <c r="H58" s="1" t="s">
        <v>53</v>
      </c>
      <c r="I58" s="1" t="s">
        <v>57</v>
      </c>
      <c r="J58" s="3">
        <f>D58/0.5/3.6</f>
        <v>8.9444444444444441E-3</v>
      </c>
      <c r="K58" s="1" t="s">
        <v>53</v>
      </c>
      <c r="L58" s="1" t="s">
        <v>59</v>
      </c>
      <c r="M58" s="1" t="s">
        <v>297</v>
      </c>
      <c r="N58" s="1" t="s">
        <v>53</v>
      </c>
      <c r="O58" s="1" t="s">
        <v>61</v>
      </c>
      <c r="P58" s="1" t="s">
        <v>297</v>
      </c>
      <c r="Q58" s="1" t="s">
        <v>53</v>
      </c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5">
      <c r="A59" s="1"/>
      <c r="B59" s="1">
        <v>2036</v>
      </c>
      <c r="C59" s="1" t="s">
        <v>35</v>
      </c>
      <c r="D59" s="1" t="s">
        <v>297</v>
      </c>
      <c r="E59" s="1" t="s">
        <v>38</v>
      </c>
      <c r="F59" s="1" t="s">
        <v>52</v>
      </c>
      <c r="G59" s="1" t="s">
        <v>297</v>
      </c>
      <c r="H59" s="1" t="s">
        <v>53</v>
      </c>
      <c r="I59" s="1" t="s">
        <v>57</v>
      </c>
      <c r="J59" s="1" t="s">
        <v>297</v>
      </c>
      <c r="K59" s="1" t="s">
        <v>53</v>
      </c>
      <c r="L59" s="1" t="s">
        <v>59</v>
      </c>
      <c r="M59" s="1" t="s">
        <v>297</v>
      </c>
      <c r="N59" s="1" t="s">
        <v>53</v>
      </c>
      <c r="O59" s="1" t="s">
        <v>61</v>
      </c>
      <c r="P59" s="1" t="s">
        <v>297</v>
      </c>
      <c r="Q59" s="1" t="s">
        <v>53</v>
      </c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5">
      <c r="A60" s="1"/>
      <c r="B60" s="1">
        <v>2037</v>
      </c>
      <c r="C60" s="1" t="s">
        <v>35</v>
      </c>
      <c r="D60" s="1" t="s">
        <v>297</v>
      </c>
      <c r="E60" s="1" t="s">
        <v>38</v>
      </c>
      <c r="F60" s="1" t="s">
        <v>52</v>
      </c>
      <c r="G60" s="1" t="s">
        <v>297</v>
      </c>
      <c r="H60" s="1" t="s">
        <v>53</v>
      </c>
      <c r="I60" s="1" t="s">
        <v>57</v>
      </c>
      <c r="J60" s="1" t="s">
        <v>297</v>
      </c>
      <c r="K60" s="1" t="s">
        <v>53</v>
      </c>
      <c r="L60" s="1" t="s">
        <v>59</v>
      </c>
      <c r="M60" s="1" t="s">
        <v>297</v>
      </c>
      <c r="N60" s="1" t="s">
        <v>53</v>
      </c>
      <c r="O60" s="1" t="s">
        <v>61</v>
      </c>
      <c r="P60" s="1" t="s">
        <v>297</v>
      </c>
      <c r="Q60" s="1" t="s">
        <v>53</v>
      </c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5">
      <c r="A61" s="1"/>
      <c r="B61" s="1">
        <v>2038</v>
      </c>
      <c r="C61" s="1" t="s">
        <v>35</v>
      </c>
      <c r="D61" s="1" t="s">
        <v>297</v>
      </c>
      <c r="E61" s="1" t="s">
        <v>38</v>
      </c>
      <c r="F61" s="1" t="s">
        <v>52</v>
      </c>
      <c r="G61" s="1" t="s">
        <v>297</v>
      </c>
      <c r="H61" s="1" t="s">
        <v>53</v>
      </c>
      <c r="I61" s="1" t="s">
        <v>57</v>
      </c>
      <c r="J61" s="1" t="s">
        <v>297</v>
      </c>
      <c r="K61" s="1" t="s">
        <v>53</v>
      </c>
      <c r="L61" s="1" t="s">
        <v>59</v>
      </c>
      <c r="M61" s="1" t="s">
        <v>297</v>
      </c>
      <c r="N61" s="1" t="s">
        <v>53</v>
      </c>
      <c r="O61" s="1" t="s">
        <v>61</v>
      </c>
      <c r="P61" s="1" t="s">
        <v>297</v>
      </c>
      <c r="Q61" s="1" t="s">
        <v>53</v>
      </c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5">
      <c r="A62" s="1"/>
      <c r="B62" s="1">
        <v>2039</v>
      </c>
      <c r="C62" s="1" t="s">
        <v>35</v>
      </c>
      <c r="D62" s="1" t="s">
        <v>297</v>
      </c>
      <c r="E62" s="1" t="s">
        <v>38</v>
      </c>
      <c r="F62" s="1" t="s">
        <v>52</v>
      </c>
      <c r="G62" s="1" t="s">
        <v>297</v>
      </c>
      <c r="H62" s="1" t="s">
        <v>53</v>
      </c>
      <c r="I62" s="1" t="s">
        <v>57</v>
      </c>
      <c r="J62" s="1" t="s">
        <v>297</v>
      </c>
      <c r="K62" s="1" t="s">
        <v>53</v>
      </c>
      <c r="L62" s="1" t="s">
        <v>59</v>
      </c>
      <c r="M62" s="1" t="s">
        <v>297</v>
      </c>
      <c r="N62" s="1" t="s">
        <v>53</v>
      </c>
      <c r="O62" s="1" t="s">
        <v>61</v>
      </c>
      <c r="P62" s="1" t="s">
        <v>297</v>
      </c>
      <c r="Q62" s="1" t="s">
        <v>53</v>
      </c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5">
      <c r="A63" s="1"/>
      <c r="B63" s="1">
        <v>2040</v>
      </c>
      <c r="C63" s="1" t="s">
        <v>35</v>
      </c>
      <c r="D63" s="3">
        <v>1.14E-2</v>
      </c>
      <c r="E63" s="1" t="s">
        <v>38</v>
      </c>
      <c r="F63" s="1" t="s">
        <v>52</v>
      </c>
      <c r="G63" s="3">
        <v>0</v>
      </c>
      <c r="H63" s="1" t="s">
        <v>53</v>
      </c>
      <c r="I63" s="1" t="s">
        <v>57</v>
      </c>
      <c r="J63" s="3">
        <f>D63/0.5/3.6</f>
        <v>6.3333333333333332E-3</v>
      </c>
      <c r="K63" s="1" t="s">
        <v>53</v>
      </c>
      <c r="L63" s="1" t="s">
        <v>59</v>
      </c>
      <c r="M63" s="1" t="s">
        <v>297</v>
      </c>
      <c r="N63" s="1" t="s">
        <v>53</v>
      </c>
      <c r="O63" s="1" t="s">
        <v>61</v>
      </c>
      <c r="P63" s="1" t="s">
        <v>297</v>
      </c>
      <c r="Q63" s="1" t="s">
        <v>53</v>
      </c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5">
      <c r="A64" s="1"/>
      <c r="B64" s="1">
        <v>2041</v>
      </c>
      <c r="C64" s="1" t="s">
        <v>35</v>
      </c>
      <c r="D64" s="1" t="s">
        <v>297</v>
      </c>
      <c r="E64" s="1" t="s">
        <v>38</v>
      </c>
      <c r="F64" s="1" t="s">
        <v>52</v>
      </c>
      <c r="G64" s="1" t="s">
        <v>297</v>
      </c>
      <c r="H64" s="1" t="s">
        <v>53</v>
      </c>
      <c r="I64" s="1" t="s">
        <v>57</v>
      </c>
      <c r="J64" s="1" t="s">
        <v>297</v>
      </c>
      <c r="K64" s="1" t="s">
        <v>53</v>
      </c>
      <c r="L64" s="1" t="s">
        <v>59</v>
      </c>
      <c r="M64" s="1" t="s">
        <v>297</v>
      </c>
      <c r="N64" s="1" t="s">
        <v>53</v>
      </c>
      <c r="O64" s="1" t="s">
        <v>61</v>
      </c>
      <c r="P64" s="1" t="s">
        <v>297</v>
      </c>
      <c r="Q64" s="1" t="s">
        <v>53</v>
      </c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5">
      <c r="A65" s="1"/>
      <c r="B65" s="1">
        <v>2042</v>
      </c>
      <c r="C65" s="1" t="s">
        <v>35</v>
      </c>
      <c r="D65" s="1" t="s">
        <v>297</v>
      </c>
      <c r="E65" s="1" t="s">
        <v>38</v>
      </c>
      <c r="F65" s="1" t="s">
        <v>52</v>
      </c>
      <c r="G65" s="1" t="s">
        <v>297</v>
      </c>
      <c r="H65" s="1" t="s">
        <v>53</v>
      </c>
      <c r="I65" s="1" t="s">
        <v>57</v>
      </c>
      <c r="J65" s="1" t="s">
        <v>297</v>
      </c>
      <c r="K65" s="1" t="s">
        <v>53</v>
      </c>
      <c r="L65" s="1" t="s">
        <v>59</v>
      </c>
      <c r="M65" s="1" t="s">
        <v>297</v>
      </c>
      <c r="N65" s="1" t="s">
        <v>53</v>
      </c>
      <c r="O65" s="1" t="s">
        <v>61</v>
      </c>
      <c r="P65" s="1" t="s">
        <v>297</v>
      </c>
      <c r="Q65" s="1" t="s">
        <v>53</v>
      </c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5">
      <c r="A66" s="1"/>
      <c r="B66" s="1">
        <v>2043</v>
      </c>
      <c r="C66" s="1" t="s">
        <v>35</v>
      </c>
      <c r="D66" s="1" t="s">
        <v>297</v>
      </c>
      <c r="E66" s="1" t="s">
        <v>38</v>
      </c>
      <c r="F66" s="1" t="s">
        <v>52</v>
      </c>
      <c r="G66" s="1" t="s">
        <v>297</v>
      </c>
      <c r="H66" s="1" t="s">
        <v>53</v>
      </c>
      <c r="I66" s="1" t="s">
        <v>57</v>
      </c>
      <c r="J66" s="1" t="s">
        <v>297</v>
      </c>
      <c r="K66" s="1" t="s">
        <v>53</v>
      </c>
      <c r="L66" s="1" t="s">
        <v>59</v>
      </c>
      <c r="M66" s="1" t="s">
        <v>297</v>
      </c>
      <c r="N66" s="1" t="s">
        <v>53</v>
      </c>
      <c r="O66" s="1" t="s">
        <v>61</v>
      </c>
      <c r="P66" s="1" t="s">
        <v>297</v>
      </c>
      <c r="Q66" s="1" t="s">
        <v>53</v>
      </c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5">
      <c r="A67" s="1"/>
      <c r="B67" s="1">
        <v>2044</v>
      </c>
      <c r="C67" s="1" t="s">
        <v>35</v>
      </c>
      <c r="D67" s="1" t="s">
        <v>297</v>
      </c>
      <c r="E67" s="1" t="s">
        <v>38</v>
      </c>
      <c r="F67" s="1" t="s">
        <v>52</v>
      </c>
      <c r="G67" s="1" t="s">
        <v>297</v>
      </c>
      <c r="H67" s="1" t="s">
        <v>53</v>
      </c>
      <c r="I67" s="1" t="s">
        <v>57</v>
      </c>
      <c r="J67" s="1" t="s">
        <v>297</v>
      </c>
      <c r="K67" s="1" t="s">
        <v>53</v>
      </c>
      <c r="L67" s="1" t="s">
        <v>59</v>
      </c>
      <c r="M67" s="1" t="s">
        <v>297</v>
      </c>
      <c r="N67" s="1" t="s">
        <v>53</v>
      </c>
      <c r="O67" s="1" t="s">
        <v>61</v>
      </c>
      <c r="P67" s="1" t="s">
        <v>297</v>
      </c>
      <c r="Q67" s="1" t="s">
        <v>53</v>
      </c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5">
      <c r="A68" s="1"/>
      <c r="B68" s="1">
        <v>2045</v>
      </c>
      <c r="C68" s="1" t="s">
        <v>35</v>
      </c>
      <c r="D68" s="1">
        <v>7.3000000000000001E-3</v>
      </c>
      <c r="E68" s="1" t="s">
        <v>38</v>
      </c>
      <c r="F68" s="1" t="s">
        <v>52</v>
      </c>
      <c r="G68" s="3">
        <v>0</v>
      </c>
      <c r="H68" s="1" t="s">
        <v>53</v>
      </c>
      <c r="I68" s="1" t="s">
        <v>57</v>
      </c>
      <c r="J68" s="3">
        <f>D68/0.5/3.6</f>
        <v>4.0555555555555553E-3</v>
      </c>
      <c r="K68" s="1" t="s">
        <v>53</v>
      </c>
      <c r="L68" s="1" t="s">
        <v>59</v>
      </c>
      <c r="M68" s="1" t="s">
        <v>297</v>
      </c>
      <c r="N68" s="1" t="s">
        <v>53</v>
      </c>
      <c r="O68" s="1" t="s">
        <v>61</v>
      </c>
      <c r="P68" s="1" t="s">
        <v>297</v>
      </c>
      <c r="Q68" s="1" t="s">
        <v>53</v>
      </c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5">
      <c r="A69" s="1"/>
      <c r="B69" s="1">
        <v>2046</v>
      </c>
      <c r="C69" s="1" t="s">
        <v>35</v>
      </c>
      <c r="D69" s="1" t="s">
        <v>297</v>
      </c>
      <c r="E69" s="1" t="s">
        <v>38</v>
      </c>
      <c r="F69" s="1" t="s">
        <v>52</v>
      </c>
      <c r="G69" s="1" t="s">
        <v>297</v>
      </c>
      <c r="H69" s="1" t="s">
        <v>53</v>
      </c>
      <c r="I69" s="1" t="s">
        <v>57</v>
      </c>
      <c r="J69" s="1" t="s">
        <v>297</v>
      </c>
      <c r="K69" s="1" t="s">
        <v>53</v>
      </c>
      <c r="L69" s="1" t="s">
        <v>59</v>
      </c>
      <c r="M69" s="1" t="s">
        <v>297</v>
      </c>
      <c r="N69" s="1" t="s">
        <v>53</v>
      </c>
      <c r="O69" s="1" t="s">
        <v>61</v>
      </c>
      <c r="P69" s="1" t="s">
        <v>297</v>
      </c>
      <c r="Q69" s="1" t="s">
        <v>53</v>
      </c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5">
      <c r="A70" s="1"/>
      <c r="B70" s="1">
        <v>2047</v>
      </c>
      <c r="C70" s="1" t="s">
        <v>35</v>
      </c>
      <c r="D70" s="1" t="s">
        <v>297</v>
      </c>
      <c r="E70" s="1" t="s">
        <v>38</v>
      </c>
      <c r="F70" s="1" t="s">
        <v>52</v>
      </c>
      <c r="G70" s="1" t="s">
        <v>297</v>
      </c>
      <c r="H70" s="1" t="s">
        <v>53</v>
      </c>
      <c r="I70" s="1" t="s">
        <v>57</v>
      </c>
      <c r="J70" s="1" t="s">
        <v>297</v>
      </c>
      <c r="K70" s="1" t="s">
        <v>53</v>
      </c>
      <c r="L70" s="1" t="s">
        <v>59</v>
      </c>
      <c r="M70" s="1" t="s">
        <v>297</v>
      </c>
      <c r="N70" s="1" t="s">
        <v>53</v>
      </c>
      <c r="O70" s="1" t="s">
        <v>61</v>
      </c>
      <c r="P70" s="1" t="s">
        <v>297</v>
      </c>
      <c r="Q70" s="1" t="s">
        <v>53</v>
      </c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5">
      <c r="A71" s="1"/>
      <c r="B71" s="1">
        <v>2048</v>
      </c>
      <c r="C71" s="1" t="s">
        <v>35</v>
      </c>
      <c r="D71" s="1" t="s">
        <v>297</v>
      </c>
      <c r="E71" s="1" t="s">
        <v>38</v>
      </c>
      <c r="F71" s="1" t="s">
        <v>52</v>
      </c>
      <c r="G71" s="1" t="s">
        <v>297</v>
      </c>
      <c r="H71" s="1" t="s">
        <v>53</v>
      </c>
      <c r="I71" s="1" t="s">
        <v>57</v>
      </c>
      <c r="J71" s="1" t="s">
        <v>297</v>
      </c>
      <c r="K71" s="1" t="s">
        <v>53</v>
      </c>
      <c r="L71" s="1" t="s">
        <v>59</v>
      </c>
      <c r="M71" s="1" t="s">
        <v>297</v>
      </c>
      <c r="N71" s="1" t="s">
        <v>53</v>
      </c>
      <c r="O71" s="1" t="s">
        <v>61</v>
      </c>
      <c r="P71" s="1" t="s">
        <v>297</v>
      </c>
      <c r="Q71" s="1" t="s">
        <v>53</v>
      </c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5">
      <c r="A72" s="1"/>
      <c r="B72" s="1">
        <v>2049</v>
      </c>
      <c r="C72" s="1" t="s">
        <v>35</v>
      </c>
      <c r="D72" s="1" t="s">
        <v>297</v>
      </c>
      <c r="E72" s="1" t="s">
        <v>38</v>
      </c>
      <c r="F72" s="1" t="s">
        <v>52</v>
      </c>
      <c r="G72" s="1" t="s">
        <v>297</v>
      </c>
      <c r="H72" s="1" t="s">
        <v>53</v>
      </c>
      <c r="I72" s="1" t="s">
        <v>57</v>
      </c>
      <c r="J72" s="1" t="s">
        <v>297</v>
      </c>
      <c r="K72" s="1" t="s">
        <v>53</v>
      </c>
      <c r="L72" s="1" t="s">
        <v>59</v>
      </c>
      <c r="M72" s="1" t="s">
        <v>297</v>
      </c>
      <c r="N72" s="1" t="s">
        <v>53</v>
      </c>
      <c r="O72" s="1" t="s">
        <v>61</v>
      </c>
      <c r="P72" s="1" t="s">
        <v>297</v>
      </c>
      <c r="Q72" s="1" t="s">
        <v>53</v>
      </c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5">
      <c r="A73" s="1"/>
      <c r="B73" s="1">
        <v>2050</v>
      </c>
      <c r="C73" s="1" t="s">
        <v>35</v>
      </c>
      <c r="D73" s="1">
        <v>3.2000000000000002E-3</v>
      </c>
      <c r="E73" s="1" t="s">
        <v>38</v>
      </c>
      <c r="F73" s="1" t="s">
        <v>52</v>
      </c>
      <c r="G73" s="3">
        <v>0</v>
      </c>
      <c r="H73" s="1" t="s">
        <v>53</v>
      </c>
      <c r="I73" s="1" t="s">
        <v>57</v>
      </c>
      <c r="J73" s="3">
        <f>D73/0.5/3.6</f>
        <v>1.7777777777777779E-3</v>
      </c>
      <c r="K73" s="1" t="s">
        <v>53</v>
      </c>
      <c r="L73" s="1" t="s">
        <v>59</v>
      </c>
      <c r="M73" s="3">
        <f>M48*(1-0.03)</f>
        <v>6.8636160714285702E-2</v>
      </c>
      <c r="N73" s="1" t="s">
        <v>53</v>
      </c>
      <c r="O73" s="1" t="s">
        <v>61</v>
      </c>
      <c r="P73" s="3">
        <f>M73*(1-0.8)</f>
        <v>1.3727232142857137E-2</v>
      </c>
      <c r="Q73" s="1" t="s">
        <v>53</v>
      </c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5">
      <c r="A74" s="33" t="s">
        <v>298</v>
      </c>
      <c r="B74" s="4" t="s">
        <v>11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6" spans="1:26" ht="12.75" customHeight="1" x14ac:dyDescent="0.35">
      <c r="A76" s="32" t="s">
        <v>299</v>
      </c>
      <c r="B76" s="2" t="s">
        <v>1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5">
      <c r="A77" s="1" t="s">
        <v>3</v>
      </c>
      <c r="B77" s="1" t="s">
        <v>78</v>
      </c>
      <c r="C77" s="1" t="s">
        <v>165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5">
      <c r="A78" s="1"/>
      <c r="B78" s="1" t="s">
        <v>78</v>
      </c>
      <c r="C78" s="22" t="s">
        <v>88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5">
      <c r="A79" s="1" t="s">
        <v>3</v>
      </c>
      <c r="B79" s="1" t="s">
        <v>150</v>
      </c>
      <c r="C79" s="1" t="s">
        <v>293</v>
      </c>
      <c r="D79" s="1" t="s">
        <v>315</v>
      </c>
      <c r="E79" s="3" t="s">
        <v>295</v>
      </c>
      <c r="F79" s="1" t="s">
        <v>212</v>
      </c>
      <c r="G79" s="1" t="s">
        <v>212</v>
      </c>
      <c r="I79" s="1" t="s">
        <v>296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5">
      <c r="A80" s="1"/>
      <c r="B80" s="1">
        <v>2025</v>
      </c>
      <c r="C80" s="1" t="s">
        <v>35</v>
      </c>
      <c r="D80" s="3">
        <v>1.9599999999999999E-2</v>
      </c>
      <c r="E80" s="1" t="s">
        <v>38</v>
      </c>
      <c r="F80" s="1" t="s">
        <v>52</v>
      </c>
      <c r="G80" s="3">
        <v>0</v>
      </c>
      <c r="H80" s="1" t="s">
        <v>53</v>
      </c>
      <c r="I80" s="1" t="s">
        <v>57</v>
      </c>
      <c r="J80" s="3">
        <f>D80/0.5/3.6</f>
        <v>1.0888888888888889E-2</v>
      </c>
      <c r="K80" s="1" t="s">
        <v>53</v>
      </c>
      <c r="L80" s="1" t="s">
        <v>59</v>
      </c>
      <c r="M80" s="3">
        <f>M15</f>
        <v>7.0758928571428556E-2</v>
      </c>
      <c r="N80" s="1" t="s">
        <v>53</v>
      </c>
      <c r="O80" s="1" t="s">
        <v>61</v>
      </c>
      <c r="P80" s="3">
        <f>M80*(1-0.8)</f>
        <v>1.4151785714285709E-2</v>
      </c>
      <c r="Q80" s="1" t="s">
        <v>53</v>
      </c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5">
      <c r="A81" s="1"/>
      <c r="B81" s="1">
        <v>2026</v>
      </c>
      <c r="C81" s="1" t="s">
        <v>35</v>
      </c>
      <c r="D81" s="1" t="s">
        <v>297</v>
      </c>
      <c r="E81" s="1" t="s">
        <v>38</v>
      </c>
      <c r="F81" s="1" t="s">
        <v>52</v>
      </c>
      <c r="G81" s="1" t="s">
        <v>297</v>
      </c>
      <c r="H81" s="1" t="s">
        <v>53</v>
      </c>
      <c r="I81" s="1" t="s">
        <v>57</v>
      </c>
      <c r="J81" s="1" t="s">
        <v>297</v>
      </c>
      <c r="K81" s="1" t="s">
        <v>53</v>
      </c>
      <c r="L81" s="1" t="s">
        <v>59</v>
      </c>
      <c r="M81" s="1" t="s">
        <v>297</v>
      </c>
      <c r="N81" s="1" t="s">
        <v>53</v>
      </c>
      <c r="O81" s="1" t="s">
        <v>61</v>
      </c>
      <c r="P81" s="1" t="s">
        <v>297</v>
      </c>
      <c r="Q81" s="1" t="s">
        <v>53</v>
      </c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5">
      <c r="A82" s="1"/>
      <c r="B82" s="1">
        <v>2027</v>
      </c>
      <c r="C82" s="1" t="s">
        <v>35</v>
      </c>
      <c r="D82" s="1" t="s">
        <v>297</v>
      </c>
      <c r="E82" s="1" t="s">
        <v>38</v>
      </c>
      <c r="F82" s="1" t="s">
        <v>52</v>
      </c>
      <c r="G82" s="1" t="s">
        <v>297</v>
      </c>
      <c r="H82" s="1" t="s">
        <v>53</v>
      </c>
      <c r="I82" s="1" t="s">
        <v>57</v>
      </c>
      <c r="J82" s="1" t="s">
        <v>297</v>
      </c>
      <c r="K82" s="1" t="s">
        <v>53</v>
      </c>
      <c r="L82" s="1" t="s">
        <v>59</v>
      </c>
      <c r="M82" s="1" t="s">
        <v>297</v>
      </c>
      <c r="N82" s="1" t="s">
        <v>53</v>
      </c>
      <c r="O82" s="1" t="s">
        <v>61</v>
      </c>
      <c r="P82" s="1" t="s">
        <v>297</v>
      </c>
      <c r="Q82" s="1" t="s">
        <v>53</v>
      </c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5">
      <c r="A83" s="1"/>
      <c r="B83" s="1">
        <v>2028</v>
      </c>
      <c r="C83" s="1" t="s">
        <v>35</v>
      </c>
      <c r="D83" s="1" t="s">
        <v>297</v>
      </c>
      <c r="E83" s="1" t="s">
        <v>38</v>
      </c>
      <c r="F83" s="1" t="s">
        <v>52</v>
      </c>
      <c r="G83" s="1" t="s">
        <v>297</v>
      </c>
      <c r="H83" s="1" t="s">
        <v>53</v>
      </c>
      <c r="I83" s="1" t="s">
        <v>57</v>
      </c>
      <c r="J83" s="1" t="s">
        <v>297</v>
      </c>
      <c r="K83" s="1" t="s">
        <v>53</v>
      </c>
      <c r="L83" s="1" t="s">
        <v>59</v>
      </c>
      <c r="M83" s="1" t="s">
        <v>297</v>
      </c>
      <c r="N83" s="1" t="s">
        <v>53</v>
      </c>
      <c r="O83" s="1" t="s">
        <v>61</v>
      </c>
      <c r="P83" s="1" t="s">
        <v>297</v>
      </c>
      <c r="Q83" s="1" t="s">
        <v>53</v>
      </c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5">
      <c r="A84" s="1"/>
      <c r="B84" s="1">
        <v>2029</v>
      </c>
      <c r="C84" s="1" t="s">
        <v>35</v>
      </c>
      <c r="D84" s="1" t="s">
        <v>297</v>
      </c>
      <c r="E84" s="1" t="s">
        <v>38</v>
      </c>
      <c r="F84" s="1" t="s">
        <v>52</v>
      </c>
      <c r="G84" s="1" t="s">
        <v>297</v>
      </c>
      <c r="H84" s="1" t="s">
        <v>53</v>
      </c>
      <c r="I84" s="1" t="s">
        <v>57</v>
      </c>
      <c r="J84" s="1" t="s">
        <v>297</v>
      </c>
      <c r="K84" s="1" t="s">
        <v>53</v>
      </c>
      <c r="L84" s="1" t="s">
        <v>59</v>
      </c>
      <c r="M84" s="1" t="s">
        <v>297</v>
      </c>
      <c r="N84" s="1" t="s">
        <v>53</v>
      </c>
      <c r="O84" s="1" t="s">
        <v>61</v>
      </c>
      <c r="P84" s="1" t="s">
        <v>297</v>
      </c>
      <c r="Q84" s="1" t="s">
        <v>53</v>
      </c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5">
      <c r="A85" s="1"/>
      <c r="B85" s="1">
        <v>2030</v>
      </c>
      <c r="C85" s="1" t="s">
        <v>35</v>
      </c>
      <c r="D85" s="3">
        <v>1.35E-2</v>
      </c>
      <c r="E85" s="1" t="s">
        <v>38</v>
      </c>
      <c r="F85" s="1" t="s">
        <v>52</v>
      </c>
      <c r="G85" s="3">
        <v>0</v>
      </c>
      <c r="H85" s="1" t="s">
        <v>53</v>
      </c>
      <c r="I85" s="1" t="s">
        <v>57</v>
      </c>
      <c r="J85" s="3">
        <f>D85/0.5/3.6</f>
        <v>7.4999999999999997E-3</v>
      </c>
      <c r="K85" s="1" t="s">
        <v>53</v>
      </c>
      <c r="L85" s="1" t="s">
        <v>59</v>
      </c>
      <c r="M85" s="1" t="s">
        <v>297</v>
      </c>
      <c r="N85" s="1" t="s">
        <v>53</v>
      </c>
      <c r="O85" s="1" t="s">
        <v>61</v>
      </c>
      <c r="P85" s="1" t="s">
        <v>297</v>
      </c>
      <c r="Q85" s="1" t="s">
        <v>53</v>
      </c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5">
      <c r="A86" s="1"/>
      <c r="B86" s="1">
        <v>2031</v>
      </c>
      <c r="C86" s="1" t="s">
        <v>35</v>
      </c>
      <c r="D86" s="1" t="s">
        <v>297</v>
      </c>
      <c r="E86" s="1" t="s">
        <v>38</v>
      </c>
      <c r="F86" s="1" t="s">
        <v>52</v>
      </c>
      <c r="G86" s="1" t="s">
        <v>297</v>
      </c>
      <c r="H86" s="1" t="s">
        <v>53</v>
      </c>
      <c r="I86" s="1" t="s">
        <v>57</v>
      </c>
      <c r="J86" s="1" t="s">
        <v>297</v>
      </c>
      <c r="K86" s="1" t="s">
        <v>53</v>
      </c>
      <c r="L86" s="1" t="s">
        <v>59</v>
      </c>
      <c r="M86" s="1" t="s">
        <v>297</v>
      </c>
      <c r="N86" s="1" t="s">
        <v>53</v>
      </c>
      <c r="O86" s="1" t="s">
        <v>61</v>
      </c>
      <c r="P86" s="1" t="s">
        <v>297</v>
      </c>
      <c r="Q86" s="1" t="s">
        <v>53</v>
      </c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5">
      <c r="A87" s="1"/>
      <c r="B87" s="1">
        <v>2032</v>
      </c>
      <c r="C87" s="1" t="s">
        <v>35</v>
      </c>
      <c r="D87" s="1" t="s">
        <v>297</v>
      </c>
      <c r="E87" s="1" t="s">
        <v>38</v>
      </c>
      <c r="F87" s="1" t="s">
        <v>52</v>
      </c>
      <c r="G87" s="1" t="s">
        <v>297</v>
      </c>
      <c r="H87" s="1" t="s">
        <v>53</v>
      </c>
      <c r="I87" s="1" t="s">
        <v>57</v>
      </c>
      <c r="J87" s="1" t="s">
        <v>297</v>
      </c>
      <c r="K87" s="1" t="s">
        <v>53</v>
      </c>
      <c r="L87" s="1" t="s">
        <v>59</v>
      </c>
      <c r="M87" s="1" t="s">
        <v>297</v>
      </c>
      <c r="N87" s="1" t="s">
        <v>53</v>
      </c>
      <c r="O87" s="1" t="s">
        <v>61</v>
      </c>
      <c r="P87" s="1" t="s">
        <v>297</v>
      </c>
      <c r="Q87" s="1" t="s">
        <v>53</v>
      </c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5">
      <c r="A88" s="1"/>
      <c r="B88" s="1">
        <v>2033</v>
      </c>
      <c r="C88" s="1" t="s">
        <v>35</v>
      </c>
      <c r="D88" s="1" t="s">
        <v>297</v>
      </c>
      <c r="E88" s="1" t="s">
        <v>38</v>
      </c>
      <c r="F88" s="1" t="s">
        <v>52</v>
      </c>
      <c r="G88" s="1" t="s">
        <v>297</v>
      </c>
      <c r="H88" s="1" t="s">
        <v>53</v>
      </c>
      <c r="I88" s="1" t="s">
        <v>57</v>
      </c>
      <c r="J88" s="1" t="s">
        <v>297</v>
      </c>
      <c r="K88" s="1" t="s">
        <v>53</v>
      </c>
      <c r="L88" s="1" t="s">
        <v>59</v>
      </c>
      <c r="M88" s="1" t="s">
        <v>297</v>
      </c>
      <c r="N88" s="1" t="s">
        <v>53</v>
      </c>
      <c r="O88" s="1" t="s">
        <v>61</v>
      </c>
      <c r="P88" s="1" t="s">
        <v>297</v>
      </c>
      <c r="Q88" s="1" t="s">
        <v>53</v>
      </c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5">
      <c r="A89" s="1"/>
      <c r="B89" s="1">
        <v>2034</v>
      </c>
      <c r="C89" s="1" t="s">
        <v>35</v>
      </c>
      <c r="D89" s="1" t="s">
        <v>297</v>
      </c>
      <c r="E89" s="1" t="s">
        <v>38</v>
      </c>
      <c r="F89" s="1" t="s">
        <v>52</v>
      </c>
      <c r="G89" s="1" t="s">
        <v>297</v>
      </c>
      <c r="H89" s="1" t="s">
        <v>53</v>
      </c>
      <c r="I89" s="1" t="s">
        <v>57</v>
      </c>
      <c r="J89" s="1" t="s">
        <v>297</v>
      </c>
      <c r="K89" s="1" t="s">
        <v>53</v>
      </c>
      <c r="L89" s="1" t="s">
        <v>59</v>
      </c>
      <c r="M89" s="1" t="s">
        <v>297</v>
      </c>
      <c r="N89" s="1" t="s">
        <v>53</v>
      </c>
      <c r="O89" s="1" t="s">
        <v>61</v>
      </c>
      <c r="P89" s="1" t="s">
        <v>297</v>
      </c>
      <c r="Q89" s="1" t="s">
        <v>53</v>
      </c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5">
      <c r="A90" s="1"/>
      <c r="B90" s="1">
        <v>2035</v>
      </c>
      <c r="C90" s="1" t="s">
        <v>35</v>
      </c>
      <c r="D90" s="3">
        <v>7.4000000000000003E-3</v>
      </c>
      <c r="E90" s="1" t="s">
        <v>38</v>
      </c>
      <c r="F90" s="1" t="s">
        <v>52</v>
      </c>
      <c r="G90" s="3">
        <v>0</v>
      </c>
      <c r="H90" s="1" t="s">
        <v>53</v>
      </c>
      <c r="I90" s="1" t="s">
        <v>57</v>
      </c>
      <c r="J90" s="3">
        <f>D90/0.5/3.6</f>
        <v>4.1111111111111114E-3</v>
      </c>
      <c r="K90" s="1" t="s">
        <v>53</v>
      </c>
      <c r="L90" s="1" t="s">
        <v>59</v>
      </c>
      <c r="M90" s="1" t="s">
        <v>297</v>
      </c>
      <c r="N90" s="1" t="s">
        <v>53</v>
      </c>
      <c r="O90" s="1" t="s">
        <v>61</v>
      </c>
      <c r="P90" s="1" t="s">
        <v>297</v>
      </c>
      <c r="Q90" s="1" t="s">
        <v>53</v>
      </c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5">
      <c r="A91" s="1"/>
      <c r="B91" s="1">
        <v>2036</v>
      </c>
      <c r="C91" s="1" t="s">
        <v>35</v>
      </c>
      <c r="D91" s="1" t="s">
        <v>297</v>
      </c>
      <c r="E91" s="1" t="s">
        <v>38</v>
      </c>
      <c r="F91" s="1" t="s">
        <v>52</v>
      </c>
      <c r="G91" s="1" t="s">
        <v>297</v>
      </c>
      <c r="H91" s="1" t="s">
        <v>53</v>
      </c>
      <c r="I91" s="1" t="s">
        <v>57</v>
      </c>
      <c r="J91" s="1" t="s">
        <v>297</v>
      </c>
      <c r="K91" s="1" t="s">
        <v>53</v>
      </c>
      <c r="L91" s="1" t="s">
        <v>59</v>
      </c>
      <c r="M91" s="1" t="s">
        <v>297</v>
      </c>
      <c r="N91" s="1" t="s">
        <v>53</v>
      </c>
      <c r="O91" s="1" t="s">
        <v>61</v>
      </c>
      <c r="P91" s="1" t="s">
        <v>297</v>
      </c>
      <c r="Q91" s="1" t="s">
        <v>53</v>
      </c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5">
      <c r="A92" s="1"/>
      <c r="B92" s="1">
        <v>2037</v>
      </c>
      <c r="C92" s="1" t="s">
        <v>35</v>
      </c>
      <c r="D92" s="1" t="s">
        <v>297</v>
      </c>
      <c r="E92" s="1" t="s">
        <v>38</v>
      </c>
      <c r="F92" s="1" t="s">
        <v>52</v>
      </c>
      <c r="G92" s="1" t="s">
        <v>297</v>
      </c>
      <c r="H92" s="1" t="s">
        <v>53</v>
      </c>
      <c r="I92" s="1" t="s">
        <v>57</v>
      </c>
      <c r="J92" s="1" t="s">
        <v>297</v>
      </c>
      <c r="K92" s="1" t="s">
        <v>53</v>
      </c>
      <c r="L92" s="1" t="s">
        <v>59</v>
      </c>
      <c r="M92" s="1" t="s">
        <v>297</v>
      </c>
      <c r="N92" s="1" t="s">
        <v>53</v>
      </c>
      <c r="O92" s="1" t="s">
        <v>61</v>
      </c>
      <c r="P92" s="1" t="s">
        <v>297</v>
      </c>
      <c r="Q92" s="1" t="s">
        <v>53</v>
      </c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5">
      <c r="A93" s="1"/>
      <c r="B93" s="1">
        <v>2038</v>
      </c>
      <c r="C93" s="1" t="s">
        <v>35</v>
      </c>
      <c r="D93" s="1" t="s">
        <v>297</v>
      </c>
      <c r="E93" s="1" t="s">
        <v>38</v>
      </c>
      <c r="F93" s="1" t="s">
        <v>52</v>
      </c>
      <c r="G93" s="1" t="s">
        <v>297</v>
      </c>
      <c r="H93" s="1" t="s">
        <v>53</v>
      </c>
      <c r="I93" s="1" t="s">
        <v>57</v>
      </c>
      <c r="J93" s="1" t="s">
        <v>297</v>
      </c>
      <c r="K93" s="1" t="s">
        <v>53</v>
      </c>
      <c r="L93" s="1" t="s">
        <v>59</v>
      </c>
      <c r="M93" s="1" t="s">
        <v>297</v>
      </c>
      <c r="N93" s="1" t="s">
        <v>53</v>
      </c>
      <c r="O93" s="1" t="s">
        <v>61</v>
      </c>
      <c r="P93" s="1" t="s">
        <v>297</v>
      </c>
      <c r="Q93" s="1" t="s">
        <v>53</v>
      </c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5">
      <c r="A94" s="1"/>
      <c r="B94" s="1">
        <v>2039</v>
      </c>
      <c r="C94" s="1" t="s">
        <v>35</v>
      </c>
      <c r="D94" s="1" t="s">
        <v>297</v>
      </c>
      <c r="E94" s="1" t="s">
        <v>38</v>
      </c>
      <c r="F94" s="1" t="s">
        <v>52</v>
      </c>
      <c r="G94" s="1" t="s">
        <v>297</v>
      </c>
      <c r="H94" s="1" t="s">
        <v>53</v>
      </c>
      <c r="I94" s="1" t="s">
        <v>57</v>
      </c>
      <c r="J94" s="1" t="s">
        <v>297</v>
      </c>
      <c r="K94" s="1" t="s">
        <v>53</v>
      </c>
      <c r="L94" s="1" t="s">
        <v>59</v>
      </c>
      <c r="M94" s="1" t="s">
        <v>297</v>
      </c>
      <c r="N94" s="1" t="s">
        <v>53</v>
      </c>
      <c r="O94" s="1" t="s">
        <v>61</v>
      </c>
      <c r="P94" s="1" t="s">
        <v>297</v>
      </c>
      <c r="Q94" s="1" t="s">
        <v>53</v>
      </c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5">
      <c r="A95" s="1"/>
      <c r="B95" s="1">
        <v>2040</v>
      </c>
      <c r="C95" s="1" t="s">
        <v>35</v>
      </c>
      <c r="D95" s="3">
        <v>5.9999999999999995E-4</v>
      </c>
      <c r="E95" s="1" t="s">
        <v>38</v>
      </c>
      <c r="F95" s="1" t="s">
        <v>52</v>
      </c>
      <c r="G95" s="3">
        <v>0</v>
      </c>
      <c r="H95" s="1" t="s">
        <v>53</v>
      </c>
      <c r="I95" s="1" t="s">
        <v>57</v>
      </c>
      <c r="J95" s="3">
        <f>D95/0.5/3.6</f>
        <v>3.3333333333333332E-4</v>
      </c>
      <c r="K95" s="1" t="s">
        <v>53</v>
      </c>
      <c r="L95" s="1" t="s">
        <v>59</v>
      </c>
      <c r="M95" s="1" t="s">
        <v>297</v>
      </c>
      <c r="N95" s="1" t="s">
        <v>53</v>
      </c>
      <c r="O95" s="1" t="s">
        <v>61</v>
      </c>
      <c r="P95" s="1" t="s">
        <v>297</v>
      </c>
      <c r="Q95" s="1" t="s">
        <v>53</v>
      </c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5">
      <c r="A96" s="1"/>
      <c r="B96" s="1">
        <v>2041</v>
      </c>
      <c r="C96" s="1" t="s">
        <v>35</v>
      </c>
      <c r="D96" s="1" t="s">
        <v>297</v>
      </c>
      <c r="E96" s="1" t="s">
        <v>38</v>
      </c>
      <c r="F96" s="1" t="s">
        <v>52</v>
      </c>
      <c r="G96" s="1" t="s">
        <v>297</v>
      </c>
      <c r="H96" s="1" t="s">
        <v>53</v>
      </c>
      <c r="I96" s="1" t="s">
        <v>57</v>
      </c>
      <c r="J96" s="1" t="s">
        <v>297</v>
      </c>
      <c r="K96" s="1" t="s">
        <v>53</v>
      </c>
      <c r="L96" s="1" t="s">
        <v>59</v>
      </c>
      <c r="M96" s="1" t="s">
        <v>297</v>
      </c>
      <c r="N96" s="1" t="s">
        <v>53</v>
      </c>
      <c r="O96" s="1" t="s">
        <v>61</v>
      </c>
      <c r="P96" s="1" t="s">
        <v>297</v>
      </c>
      <c r="Q96" s="1" t="s">
        <v>53</v>
      </c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5">
      <c r="A97" s="1"/>
      <c r="B97" s="1">
        <v>2042</v>
      </c>
      <c r="C97" s="1" t="s">
        <v>35</v>
      </c>
      <c r="D97" s="1" t="s">
        <v>297</v>
      </c>
      <c r="E97" s="1" t="s">
        <v>38</v>
      </c>
      <c r="F97" s="1" t="s">
        <v>52</v>
      </c>
      <c r="G97" s="1" t="s">
        <v>297</v>
      </c>
      <c r="H97" s="1" t="s">
        <v>53</v>
      </c>
      <c r="I97" s="1" t="s">
        <v>57</v>
      </c>
      <c r="J97" s="1" t="s">
        <v>297</v>
      </c>
      <c r="K97" s="1" t="s">
        <v>53</v>
      </c>
      <c r="L97" s="1" t="s">
        <v>59</v>
      </c>
      <c r="M97" s="1" t="s">
        <v>297</v>
      </c>
      <c r="N97" s="1" t="s">
        <v>53</v>
      </c>
      <c r="O97" s="1" t="s">
        <v>61</v>
      </c>
      <c r="P97" s="1" t="s">
        <v>297</v>
      </c>
      <c r="Q97" s="1" t="s">
        <v>53</v>
      </c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5">
      <c r="A98" s="1"/>
      <c r="B98" s="1">
        <v>2043</v>
      </c>
      <c r="C98" s="1" t="s">
        <v>35</v>
      </c>
      <c r="D98" s="1" t="s">
        <v>297</v>
      </c>
      <c r="E98" s="1" t="s">
        <v>38</v>
      </c>
      <c r="F98" s="1" t="s">
        <v>52</v>
      </c>
      <c r="G98" s="1" t="s">
        <v>297</v>
      </c>
      <c r="H98" s="1" t="s">
        <v>53</v>
      </c>
      <c r="I98" s="1" t="s">
        <v>57</v>
      </c>
      <c r="J98" s="1" t="s">
        <v>297</v>
      </c>
      <c r="K98" s="1" t="s">
        <v>53</v>
      </c>
      <c r="L98" s="1" t="s">
        <v>59</v>
      </c>
      <c r="M98" s="1" t="s">
        <v>297</v>
      </c>
      <c r="N98" s="1" t="s">
        <v>53</v>
      </c>
      <c r="O98" s="1" t="s">
        <v>61</v>
      </c>
      <c r="P98" s="1" t="s">
        <v>297</v>
      </c>
      <c r="Q98" s="1" t="s">
        <v>53</v>
      </c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5">
      <c r="A99" s="1"/>
      <c r="B99" s="1">
        <v>2044</v>
      </c>
      <c r="C99" s="1" t="s">
        <v>35</v>
      </c>
      <c r="D99" s="1" t="s">
        <v>297</v>
      </c>
      <c r="E99" s="1" t="s">
        <v>38</v>
      </c>
      <c r="F99" s="1" t="s">
        <v>52</v>
      </c>
      <c r="G99" s="1" t="s">
        <v>297</v>
      </c>
      <c r="H99" s="1" t="s">
        <v>53</v>
      </c>
      <c r="I99" s="1" t="s">
        <v>57</v>
      </c>
      <c r="J99" s="1" t="s">
        <v>297</v>
      </c>
      <c r="K99" s="1" t="s">
        <v>53</v>
      </c>
      <c r="L99" s="1" t="s">
        <v>59</v>
      </c>
      <c r="M99" s="1" t="s">
        <v>297</v>
      </c>
      <c r="N99" s="1" t="s">
        <v>53</v>
      </c>
      <c r="O99" s="1" t="s">
        <v>61</v>
      </c>
      <c r="P99" s="1" t="s">
        <v>297</v>
      </c>
      <c r="Q99" s="1" t="s">
        <v>53</v>
      </c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5">
      <c r="A100" s="1"/>
      <c r="B100" s="1">
        <v>2045</v>
      </c>
      <c r="C100" s="1" t="s">
        <v>35</v>
      </c>
      <c r="D100" s="3">
        <v>2.9999999999999997E-4</v>
      </c>
      <c r="E100" s="1" t="s">
        <v>38</v>
      </c>
      <c r="F100" s="1" t="s">
        <v>52</v>
      </c>
      <c r="G100" s="3">
        <v>0</v>
      </c>
      <c r="H100" s="1" t="s">
        <v>53</v>
      </c>
      <c r="I100" s="1" t="s">
        <v>57</v>
      </c>
      <c r="J100" s="3">
        <f>D100/0.5/3.6</f>
        <v>1.6666666666666666E-4</v>
      </c>
      <c r="K100" s="1" t="s">
        <v>53</v>
      </c>
      <c r="L100" s="1" t="s">
        <v>59</v>
      </c>
      <c r="M100" s="1" t="s">
        <v>297</v>
      </c>
      <c r="N100" s="1" t="s">
        <v>53</v>
      </c>
      <c r="O100" s="1" t="s">
        <v>61</v>
      </c>
      <c r="P100" s="1" t="s">
        <v>297</v>
      </c>
      <c r="Q100" s="1" t="s">
        <v>53</v>
      </c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5">
      <c r="A101" s="1"/>
      <c r="B101" s="1">
        <v>2046</v>
      </c>
      <c r="C101" s="1" t="s">
        <v>35</v>
      </c>
      <c r="D101" s="1" t="s">
        <v>297</v>
      </c>
      <c r="E101" s="1" t="s">
        <v>38</v>
      </c>
      <c r="F101" s="1" t="s">
        <v>52</v>
      </c>
      <c r="G101" s="1" t="s">
        <v>297</v>
      </c>
      <c r="H101" s="1" t="s">
        <v>53</v>
      </c>
      <c r="I101" s="1" t="s">
        <v>57</v>
      </c>
      <c r="J101" s="1" t="s">
        <v>297</v>
      </c>
      <c r="K101" s="1" t="s">
        <v>53</v>
      </c>
      <c r="L101" s="1" t="s">
        <v>59</v>
      </c>
      <c r="M101" s="1" t="s">
        <v>297</v>
      </c>
      <c r="N101" s="1" t="s">
        <v>53</v>
      </c>
      <c r="O101" s="1" t="s">
        <v>61</v>
      </c>
      <c r="P101" s="1" t="s">
        <v>297</v>
      </c>
      <c r="Q101" s="1" t="s">
        <v>53</v>
      </c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5">
      <c r="A102" s="1"/>
      <c r="B102" s="1">
        <v>2047</v>
      </c>
      <c r="C102" s="1" t="s">
        <v>35</v>
      </c>
      <c r="D102" s="1" t="s">
        <v>297</v>
      </c>
      <c r="E102" s="1" t="s">
        <v>38</v>
      </c>
      <c r="F102" s="1" t="s">
        <v>52</v>
      </c>
      <c r="G102" s="1" t="s">
        <v>297</v>
      </c>
      <c r="H102" s="1" t="s">
        <v>53</v>
      </c>
      <c r="I102" s="1" t="s">
        <v>57</v>
      </c>
      <c r="J102" s="1" t="s">
        <v>297</v>
      </c>
      <c r="K102" s="1" t="s">
        <v>53</v>
      </c>
      <c r="L102" s="1" t="s">
        <v>59</v>
      </c>
      <c r="M102" s="1" t="s">
        <v>297</v>
      </c>
      <c r="N102" s="1" t="s">
        <v>53</v>
      </c>
      <c r="O102" s="1" t="s">
        <v>61</v>
      </c>
      <c r="P102" s="1" t="s">
        <v>297</v>
      </c>
      <c r="Q102" s="1" t="s">
        <v>53</v>
      </c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5">
      <c r="A103" s="1"/>
      <c r="B103" s="1">
        <v>2048</v>
      </c>
      <c r="C103" s="1" t="s">
        <v>35</v>
      </c>
      <c r="D103" s="1" t="s">
        <v>297</v>
      </c>
      <c r="E103" s="1" t="s">
        <v>38</v>
      </c>
      <c r="F103" s="1" t="s">
        <v>52</v>
      </c>
      <c r="G103" s="1" t="s">
        <v>297</v>
      </c>
      <c r="H103" s="1" t="s">
        <v>53</v>
      </c>
      <c r="I103" s="1" t="s">
        <v>57</v>
      </c>
      <c r="J103" s="1" t="s">
        <v>297</v>
      </c>
      <c r="K103" s="1" t="s">
        <v>53</v>
      </c>
      <c r="L103" s="1" t="s">
        <v>59</v>
      </c>
      <c r="M103" s="1" t="s">
        <v>297</v>
      </c>
      <c r="N103" s="1" t="s">
        <v>53</v>
      </c>
      <c r="O103" s="1" t="s">
        <v>61</v>
      </c>
      <c r="P103" s="1" t="s">
        <v>297</v>
      </c>
      <c r="Q103" s="1" t="s">
        <v>53</v>
      </c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5">
      <c r="A104" s="1"/>
      <c r="B104" s="1">
        <v>2049</v>
      </c>
      <c r="C104" s="1" t="s">
        <v>35</v>
      </c>
      <c r="D104" s="1" t="s">
        <v>297</v>
      </c>
      <c r="E104" s="1" t="s">
        <v>38</v>
      </c>
      <c r="F104" s="1" t="s">
        <v>52</v>
      </c>
      <c r="G104" s="1" t="s">
        <v>297</v>
      </c>
      <c r="H104" s="1" t="s">
        <v>53</v>
      </c>
      <c r="I104" s="1" t="s">
        <v>57</v>
      </c>
      <c r="J104" s="1" t="s">
        <v>297</v>
      </c>
      <c r="K104" s="1" t="s">
        <v>53</v>
      </c>
      <c r="L104" s="1" t="s">
        <v>59</v>
      </c>
      <c r="M104" s="1" t="s">
        <v>297</v>
      </c>
      <c r="N104" s="1" t="s">
        <v>53</v>
      </c>
      <c r="O104" s="1" t="s">
        <v>61</v>
      </c>
      <c r="P104" s="1" t="s">
        <v>297</v>
      </c>
      <c r="Q104" s="1" t="s">
        <v>53</v>
      </c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5">
      <c r="A105" s="1"/>
      <c r="B105" s="1">
        <v>2050</v>
      </c>
      <c r="C105" s="1" t="s">
        <v>35</v>
      </c>
      <c r="D105" s="1">
        <v>0</v>
      </c>
      <c r="E105" s="1" t="s">
        <v>38</v>
      </c>
      <c r="F105" s="1" t="s">
        <v>52</v>
      </c>
      <c r="G105" s="3">
        <v>0</v>
      </c>
      <c r="H105" s="1" t="s">
        <v>53</v>
      </c>
      <c r="I105" s="1" t="s">
        <v>57</v>
      </c>
      <c r="J105" s="3">
        <f>D105/0.5/3.6</f>
        <v>0</v>
      </c>
      <c r="K105" s="1" t="s">
        <v>53</v>
      </c>
      <c r="L105" s="1" t="s">
        <v>59</v>
      </c>
      <c r="M105" s="3">
        <f>M80*(1-0.03)</f>
        <v>6.8636160714285702E-2</v>
      </c>
      <c r="N105" s="1" t="s">
        <v>53</v>
      </c>
      <c r="O105" s="1" t="s">
        <v>61</v>
      </c>
      <c r="P105" s="3">
        <f>M105*(1-0.8)</f>
        <v>1.3727232142857137E-2</v>
      </c>
      <c r="Q105" s="1" t="s">
        <v>53</v>
      </c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5">
      <c r="A106" s="33" t="s">
        <v>299</v>
      </c>
      <c r="B106" s="4" t="s">
        <v>11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HELP</vt:lpstr>
      <vt:lpstr>OverView</vt:lpstr>
      <vt:lpstr>NEW TECH</vt:lpstr>
      <vt:lpstr>NEW TECH_INDIRECT</vt:lpstr>
      <vt:lpstr>REFINERY</vt:lpstr>
      <vt:lpstr>PUBLIC AID</vt:lpstr>
      <vt:lpstr>BANK</vt:lpstr>
      <vt:lpstr>RESSOURCES_PRICE</vt:lpstr>
      <vt:lpstr>CARBON QUOTAS</vt:lpstr>
      <vt:lpstr>OTHER 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FERRARINI</dc:creator>
  <cp:lastModifiedBy>Florian FERRARINI</cp:lastModifiedBy>
  <dcterms:created xsi:type="dcterms:W3CDTF">2026-03-09T23:09:41Z</dcterms:created>
  <dcterms:modified xsi:type="dcterms:W3CDTF">2026-04-03T17:21:12Z</dcterms:modified>
</cp:coreProperties>
</file>